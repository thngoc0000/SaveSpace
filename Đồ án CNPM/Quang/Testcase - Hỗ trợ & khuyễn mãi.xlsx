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đồ án cnpm\"/>
    </mc:Choice>
  </mc:AlternateContent>
  <xr:revisionPtr revIDLastSave="0" documentId="13_ncr:1_{D326B103-DDEE-4B91-AFC5-EC230068046D}" xr6:coauthVersionLast="47" xr6:coauthVersionMax="47" xr10:uidLastSave="{00000000-0000-0000-0000-000000000000}"/>
  <bookViews>
    <workbookView xWindow="-120" yWindow="-120" windowWidth="38640" windowHeight="21120" firstSheet="1" activeTab="2" xr2:uid="{00000000-000D-0000-FFFF-FFFF00000000}"/>
  </bookViews>
  <sheets>
    <sheet name="Cover" sheetId="1" r:id="rId1"/>
    <sheet name="Test case List" sheetId="2" r:id="rId2"/>
    <sheet name="Hỗ trợ &amp; khuyến mãi" sheetId="3" r:id="rId3"/>
    <sheet name="Layout Hỗ trợ &amp; khuyến mãi" sheetId="4" r:id="rId4"/>
    <sheet name="Test Report" sheetId="5" r:id="rId5"/>
  </sheets>
  <definedNames>
    <definedName name="ACTION">#REF!</definedName>
  </definedNames>
  <calcPr calcId="191029"/>
</workbook>
</file>

<file path=xl/calcChain.xml><?xml version="1.0" encoding="utf-8"?>
<calcChain xmlns="http://schemas.openxmlformats.org/spreadsheetml/2006/main">
  <c r="C4" i="5" l="1"/>
  <c r="C5" i="5" s="1"/>
  <c r="C3" i="5"/>
  <c r="E6" i="3"/>
  <c r="H11" i="5" s="1"/>
  <c r="H15" i="5" s="1"/>
  <c r="D6" i="3"/>
  <c r="G11" i="5" s="1"/>
  <c r="G15" i="5" s="1"/>
  <c r="B6" i="3"/>
  <c r="E11" i="5" s="1"/>
  <c r="E15" i="5" s="1"/>
  <c r="A6" i="3"/>
  <c r="D11" i="5" s="1"/>
  <c r="D15" i="5" s="1"/>
  <c r="B11" i="2"/>
  <c r="B10" i="2"/>
  <c r="B9" i="2"/>
  <c r="D4" i="2"/>
  <c r="D3" i="2"/>
  <c r="C6" i="1"/>
  <c r="E18" i="5" l="1"/>
  <c r="E17" i="5"/>
  <c r="C6" i="3"/>
  <c r="F11" i="5" s="1"/>
  <c r="F1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<sst xmlns="http://schemas.openxmlformats.org/spreadsheetml/2006/main" count="112" uniqueCount="89">
  <si>
    <t>TEST CASE</t>
  </si>
  <si>
    <t>Project Name</t>
  </si>
  <si>
    <t>Xây dựng hệ thống quản lý kho hàng và bán lẻ cho cửa hàng điện thoại</t>
  </si>
  <si>
    <t>Creator</t>
  </si>
  <si>
    <t>Trương Hữu Ngọc
Hồ Bảo Toàn
Nguyễn Vỹ Nguyên
Nguyễn Văn Nhật Quang
Trần Quốc Hoàng Anh</t>
  </si>
  <si>
    <t>Project Code</t>
  </si>
  <si>
    <t>KH52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</si>
  <si>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</si>
  <si>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</si>
  <si>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</si>
  <si>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</si>
  <si>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</si>
  <si>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</si>
  <si>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</si>
  <si>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</si>
  <si>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</si>
  <si>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</si>
  <si>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</si>
  <si>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A</t>
  </si>
  <si>
    <t>Blackbox testcase-template</t>
  </si>
  <si>
    <t>M</t>
  </si>
  <si>
    <t>Bổ sung các màn hình cho các chức năng
Bổ sung các case còn thiếu</t>
  </si>
  <si>
    <t>2.0</t>
  </si>
  <si>
    <t>M,D</t>
  </si>
  <si>
    <t>Bổ sung các màn hình cho các chức năng.
Bổ sung các case còn thiếu và xóa bớt một số case dư thừa</t>
  </si>
  <si>
    <t>Add
Delete
Modify</t>
  </si>
  <si>
    <t>TEST CASE LIST</t>
  </si>
  <si>
    <t>Test Environment Setup Description</t>
  </si>
  <si>
    <t>1. Apache Tomcat 9
2. Eclipse
3. MySQL
4. Web Browser</t>
  </si>
  <si>
    <t>No</t>
  </si>
  <si>
    <t>Function Name</t>
  </si>
  <si>
    <t>Sheet Name</t>
  </si>
  <si>
    <t>Description</t>
  </si>
  <si>
    <t>Pre-Condition</t>
  </si>
  <si>
    <t>Module Code</t>
  </si>
  <si>
    <t>Test requirement</t>
  </si>
  <si>
    <t>Tester</t>
  </si>
  <si>
    <t>Trương Hữu Ngọc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</si>
  <si>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</si>
  <si>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</si>
  <si>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</si>
  <si>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</si>
  <si>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</si>
  <si>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</si>
  <si>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</si>
  <si>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</si>
  <si>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</si>
  <si>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</si>
  <si>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</si>
  <si>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</si>
  <si>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</si>
  <si>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[Result] Labels</t>
  </si>
  <si>
    <t>TEST REPORT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</si>
  <si>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</si>
  <si>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</si>
  <si>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</si>
  <si>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</si>
  <si>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</si>
  <si>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</si>
  <si>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</si>
  <si>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Thêm Usecase Đánh giá &amp; phản hồi và layout của nó.</t>
  </si>
  <si>
    <t>Check FUNC-Đánh giá &amp; phản hồi</t>
  </si>
  <si>
    <t>Function - Hỗ trợ &amp; khuyến mãi</t>
  </si>
  <si>
    <t>Layout Hỗ trợ &amp; khuyến mãi</t>
  </si>
  <si>
    <t>Hỗ trợ &amp; khuyến mãi</t>
  </si>
  <si>
    <t>Tại Menu Ứng dụng:
Click [Hỗ trợ &amp; khuyến mãi].</t>
  </si>
  <si>
    <t xml:space="preserve">GUI chức năng Hỗ trợ &amp; khuyến mãi cho khách hàng </t>
  </si>
  <si>
    <t>Check GUI và FUNC Hỗ trợ &amp; khuyến mãi cho khách hàng</t>
  </si>
  <si>
    <t>Function : Hỗ trợ &amp; khuyến mãi</t>
  </si>
  <si>
    <t>Check GUI- Hỗ trợ &amp; khuyến mãi</t>
  </si>
  <si>
    <t>[Tên khuyến mãi] Label</t>
  </si>
  <si>
    <t>Lấy dữ liệu từ cột Tên khuyễn mãi trong bảng Khuyến mãi</t>
  </si>
  <si>
    <t xml:space="preserve">[Hotline] Label </t>
  </si>
  <si>
    <t xml:space="preserve">[Email] Label </t>
  </si>
  <si>
    <t>[Chính sách bảo hành] Label</t>
  </si>
  <si>
    <t>[Câu hỏi thường gặp] Label</t>
  </si>
  <si>
    <t>[Live chat] Button</t>
  </si>
  <si>
    <t>Hiển thì màn hình live chat</t>
  </si>
  <si>
    <t>GUI-Support-01</t>
  </si>
  <si>
    <t>GUI-Support-02</t>
  </si>
  <si>
    <t>GUI-Support-03</t>
  </si>
  <si>
    <t>GUI-Support-04</t>
  </si>
  <si>
    <t>GUI-Support-05</t>
  </si>
  <si>
    <t>FUNC-Support-01</t>
  </si>
  <si>
    <t>Hiển thị màn hình live chat thành công</t>
  </si>
  <si>
    <t>Tại màn hình Hỗ trợ &amp; khuyến mãi:
Click [Live chat]</t>
  </si>
  <si>
    <t>Hỗ trợ &amp; khuyễn mãi</t>
  </si>
  <si>
    <t>Nguyễn Văn Nhật Quang</t>
  </si>
  <si>
    <t xml:space="preserve">1. Xem các thông tin về hỗ trợ và chương trình khuyến mãi
2. Nhắn tin giải đáp thắc mắc trực tiếp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</si>
</sst>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0000"/>
      <name val="Times New Roman"/>
      <family val="1"/>
    </font>
    <font>
      <sz val="10"/>
      <name val="Arial"/>
      <family val="2"/>
    </font>
    <font>
      <b/>
      <sz val="13"/>
      <color rgb="FF993300"/>
      <name val="Times New Roman"/>
      <family val="1"/>
    </font>
    <font>
      <i/>
      <sz val="13"/>
      <color rgb="FF008000"/>
      <name val="Times New Roman"/>
      <family val="1"/>
    </font>
    <font>
      <b/>
      <sz val="13"/>
      <color rgb="FFFFFFFF"/>
      <name val="Times New Roman"/>
      <family val="1"/>
    </font>
    <font>
      <i/>
      <sz val="13"/>
      <color rgb="FF9BBB59"/>
      <name val="Times New Roman"/>
      <family val="1"/>
    </font>
    <font>
      <sz val="13"/>
      <color rgb="FF008000"/>
      <name val="Times New Roman"/>
      <family val="1"/>
    </font>
    <font>
      <sz val="13"/>
      <color rgb="FF9BBB59"/>
      <name val="Times New Roman"/>
      <family val="1"/>
    </font>
    <font>
      <b/>
      <sz val="13"/>
      <color theme="1"/>
      <name val="Times New Roman"/>
      <family val="1"/>
    </font>
    <font>
      <u/>
      <sz val="11"/>
      <color theme="10"/>
      <name val="MS PGothic"/>
      <family val="2"/>
    </font>
    <font>
      <sz val="13"/>
      <color rgb="FF000000"/>
      <name val="Times New Roman"/>
      <family val="1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3"/>
      <color rgb="FFFF0000"/>
      <name val="Times New Roman"/>
      <family val="1"/>
    </font>
    <font>
      <sz val="11"/>
      <color rgb="FF000000"/>
      <name val="MS PGothic"/>
      <family val="2"/>
    </font>
    <font>
      <sz val="11"/>
      <color theme="1"/>
      <name val="MS PGothic"/>
      <family val="2"/>
    </font>
    <font>
      <sz val="13"/>
      <color rgb="FFFFFFFF"/>
      <name val="Times New Roman"/>
      <family val="1"/>
    </font>
    <font>
      <b/>
      <sz val="13"/>
      <color rgb="FF0000FF"/>
      <name val="Times New Roman"/>
      <family val="1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</fills>
  <borders count="5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 vertical="center"/>
    </xf>
    <xf numFmtId="0" fontId="1" fillId="0" borderId="4" xfId="0" applyFont="1" applyBorder="1" applyAlignment="1">
      <alignment wrapText="1"/>
    </xf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horizontal="left" vertical="top" wrapText="1"/>
    </xf>
    <xf numFmtId="49" fontId="1" fillId="0" borderId="18" xfId="0" applyNumberFormat="1" applyFont="1" applyBorder="1" applyAlignment="1">
      <alignment horizontal="center" vertical="top"/>
    </xf>
    <xf numFmtId="0" fontId="1" fillId="0" borderId="18" xfId="0" applyFont="1" applyBorder="1" applyAlignment="1">
      <alignment vertical="top"/>
    </xf>
    <xf numFmtId="0" fontId="1" fillId="0" borderId="18" xfId="0" applyFont="1" applyBorder="1" applyAlignment="1">
      <alignment horizontal="center" vertical="top"/>
    </xf>
    <xf numFmtId="15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15" fontId="9" fillId="0" borderId="17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5" fontId="1" fillId="0" borderId="17" xfId="0" applyNumberFormat="1" applyFont="1" applyBorder="1" applyAlignment="1">
      <alignment vertical="top"/>
    </xf>
    <xf numFmtId="15" fontId="1" fillId="0" borderId="18" xfId="0" applyNumberFormat="1" applyFont="1" applyBorder="1" applyAlignment="1">
      <alignment vertical="top" wrapText="1"/>
    </xf>
    <xf numFmtId="0" fontId="1" fillId="4" borderId="1" xfId="0" applyFont="1" applyFill="1" applyBorder="1" applyAlignment="1">
      <alignment vertical="center" wrapText="1"/>
    </xf>
    <xf numFmtId="15" fontId="9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horizontal="center" vertical="top"/>
    </xf>
    <xf numFmtId="0" fontId="1" fillId="0" borderId="21" xfId="0" applyFont="1" applyBorder="1" applyAlignment="1">
      <alignment vertical="top"/>
    </xf>
    <xf numFmtId="0" fontId="1" fillId="0" borderId="21" xfId="0" applyFont="1" applyBorder="1" applyAlignment="1">
      <alignment horizontal="center"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1" fontId="7" fillId="5" borderId="14" xfId="0" applyNumberFormat="1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top"/>
    </xf>
    <xf numFmtId="0" fontId="13" fillId="2" borderId="24" xfId="0" applyFont="1" applyFill="1" applyBorder="1" applyAlignment="1">
      <alignment wrapText="1"/>
    </xf>
    <xf numFmtId="0" fontId="1" fillId="2" borderId="24" xfId="0" applyFont="1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3" fillId="2" borderId="1" xfId="0" applyFont="1" applyFill="1" applyBorder="1"/>
    <xf numFmtId="0" fontId="11" fillId="2" borderId="25" xfId="0" applyFont="1" applyFill="1" applyBorder="1" applyAlignment="1">
      <alignment horizontal="left" vertical="top" wrapText="1"/>
    </xf>
    <xf numFmtId="0" fontId="11" fillId="2" borderId="27" xfId="0" applyFont="1" applyFill="1" applyBorder="1" applyAlignment="1">
      <alignment horizontal="left" vertical="top" wrapText="1"/>
    </xf>
    <xf numFmtId="0" fontId="3" fillId="2" borderId="1" xfId="0" applyFont="1" applyFill="1" applyBorder="1"/>
    <xf numFmtId="0" fontId="3" fillId="2" borderId="27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3" fillId="2" borderId="32" xfId="0" applyFont="1" applyFill="1" applyBorder="1" applyAlignment="1">
      <alignment horizontal="center" vertical="top"/>
    </xf>
    <xf numFmtId="0" fontId="13" fillId="2" borderId="33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top"/>
    </xf>
    <xf numFmtId="0" fontId="1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top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11" fillId="6" borderId="31" xfId="0" applyFont="1" applyFill="1" applyBorder="1" applyAlignment="1">
      <alignment horizontal="left" vertical="top"/>
    </xf>
    <xf numFmtId="0" fontId="11" fillId="6" borderId="31" xfId="0" applyFont="1" applyFill="1" applyBorder="1" applyAlignment="1">
      <alignment horizontal="left" vertical="center"/>
    </xf>
    <xf numFmtId="0" fontId="11" fillId="6" borderId="38" xfId="0" applyFont="1" applyFill="1" applyBorder="1" applyAlignment="1">
      <alignment horizontal="left" vertical="center"/>
    </xf>
    <xf numFmtId="0" fontId="11" fillId="6" borderId="38" xfId="0" applyFont="1" applyFill="1" applyBorder="1" applyAlignment="1">
      <alignment horizontal="left" vertical="center" wrapText="1"/>
    </xf>
    <xf numFmtId="0" fontId="16" fillId="6" borderId="39" xfId="0" applyFont="1" applyFill="1" applyBorder="1" applyAlignment="1">
      <alignment horizontal="left" vertical="center"/>
    </xf>
    <xf numFmtId="0" fontId="11" fillId="6" borderId="39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vertical="top" wrapText="1"/>
    </xf>
    <xf numFmtId="0" fontId="13" fillId="2" borderId="1" xfId="0" applyFont="1" applyFill="1" applyBorder="1" applyAlignment="1">
      <alignment vertical="top"/>
    </xf>
    <xf numFmtId="0" fontId="13" fillId="2" borderId="5" xfId="0" applyFont="1" applyFill="1" applyBorder="1" applyAlignment="1">
      <alignment horizontal="left" vertical="top" wrapText="1"/>
    </xf>
    <xf numFmtId="0" fontId="11" fillId="6" borderId="38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wrapText="1"/>
    </xf>
    <xf numFmtId="0" fontId="14" fillId="2" borderId="1" xfId="0" applyFont="1" applyFill="1" applyBorder="1"/>
    <xf numFmtId="0" fontId="17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wrapText="1"/>
    </xf>
    <xf numFmtId="0" fontId="11" fillId="2" borderId="1" xfId="0" applyFont="1" applyFill="1" applyBorder="1"/>
    <xf numFmtId="15" fontId="1" fillId="2" borderId="1" xfId="0" applyNumberFormat="1" applyFont="1" applyFill="1" applyBorder="1"/>
    <xf numFmtId="0" fontId="5" fillId="2" borderId="39" xfId="0" applyFont="1" applyFill="1" applyBorder="1" applyAlignment="1">
      <alignment horizontal="left"/>
    </xf>
    <xf numFmtId="0" fontId="1" fillId="2" borderId="39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6" fillId="2" borderId="39" xfId="0" applyNumberFormat="1" applyFont="1" applyFill="1" applyBorder="1" applyAlignment="1">
      <alignment horizontal="left" vertical="top"/>
    </xf>
    <xf numFmtId="0" fontId="6" fillId="2" borderId="1" xfId="0" applyFont="1" applyFill="1" applyBorder="1"/>
    <xf numFmtId="0" fontId="1" fillId="2" borderId="44" xfId="0" applyFont="1" applyFill="1" applyBorder="1"/>
    <xf numFmtId="0" fontId="7" fillId="3" borderId="45" xfId="0" applyFont="1" applyFill="1" applyBorder="1" applyAlignment="1">
      <alignment horizontal="center"/>
    </xf>
    <xf numFmtId="0" fontId="7" fillId="3" borderId="46" xfId="0" applyFont="1" applyFill="1" applyBorder="1" applyAlignment="1">
      <alignment horizontal="center"/>
    </xf>
    <xf numFmtId="0" fontId="7" fillId="3" borderId="46" xfId="0" applyFont="1" applyFill="1" applyBorder="1" applyAlignment="1">
      <alignment horizontal="center" wrapText="1"/>
    </xf>
    <xf numFmtId="0" fontId="7" fillId="3" borderId="47" xfId="0" applyFont="1" applyFill="1" applyBorder="1" applyAlignment="1">
      <alignment horizontal="center"/>
    </xf>
    <xf numFmtId="0" fontId="7" fillId="3" borderId="48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0" fontId="19" fillId="0" borderId="5" xfId="0" applyFont="1" applyBorder="1"/>
    <xf numFmtId="0" fontId="20" fillId="3" borderId="49" xfId="0" applyFont="1" applyFill="1" applyBorder="1" applyAlignment="1">
      <alignment horizontal="center"/>
    </xf>
    <xf numFmtId="0" fontId="7" fillId="3" borderId="50" xfId="0" applyFont="1" applyFill="1" applyBorder="1"/>
    <xf numFmtId="0" fontId="20" fillId="3" borderId="50" xfId="0" applyFont="1" applyFill="1" applyBorder="1" applyAlignment="1">
      <alignment horizontal="center"/>
    </xf>
    <xf numFmtId="0" fontId="20" fillId="3" borderId="5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right" wrapText="1"/>
    </xf>
    <xf numFmtId="0" fontId="22" fillId="2" borderId="18" xfId="1" applyFill="1" applyBorder="1" applyAlignment="1">
      <alignment horizontal="left" vertical="center"/>
    </xf>
    <xf numFmtId="0" fontId="22" fillId="2" borderId="5" xfId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1" fillId="2" borderId="37" xfId="0" applyFont="1" applyFill="1" applyBorder="1" applyAlignment="1">
      <alignment horizontal="left" vertical="top" wrapText="1"/>
    </xf>
    <xf numFmtId="0" fontId="1" fillId="2" borderId="40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wrapText="1"/>
    </xf>
    <xf numFmtId="0" fontId="4" fillId="0" borderId="26" xfId="0" applyFont="1" applyBorder="1"/>
    <xf numFmtId="0" fontId="6" fillId="2" borderId="2" xfId="0" applyFont="1" applyFill="1" applyBorder="1" applyAlignment="1">
      <alignment horizontal="left" vertical="top" wrapText="1"/>
    </xf>
    <xf numFmtId="0" fontId="6" fillId="2" borderId="28" xfId="0" applyFont="1" applyFill="1" applyBorder="1" applyAlignment="1">
      <alignment horizontal="left" wrapText="1"/>
    </xf>
    <xf numFmtId="0" fontId="4" fillId="0" borderId="29" xfId="0" applyFont="1" applyBorder="1"/>
    <xf numFmtId="0" fontId="4" fillId="0" borderId="30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5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vertical="top"/>
    </xf>
    <xf numFmtId="0" fontId="3" fillId="2" borderId="41" xfId="0" applyFont="1" applyFill="1" applyBorder="1" applyAlignment="1">
      <alignment horizontal="center"/>
    </xf>
    <xf numFmtId="0" fontId="4" fillId="0" borderId="42" xfId="0" applyFont="1" applyBorder="1"/>
    <xf numFmtId="0" fontId="4" fillId="0" borderId="43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19050</xdr:rowOff>
    </xdr:from>
    <xdr:ext cx="77152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583565</xdr:colOff>
      <xdr:row>22</xdr:row>
      <xdr:rowOff>118110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FCFBA2E-4AC1-EB80-43EC-9166E1CF9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932805" cy="38061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D10" workbookViewId="0">
      <selection activeCell="F18" sqref="F18"/>
    </sheetView>
  </sheetViews>
  <sheetFormatPr defaultColWidth="12.7109375" defaultRowHeight="15.75" customHeight="1" x14ac:dyDescent="0.2"/>
  <cols>
    <col min="1" max="1" width="2.28515625" customWidth="1"/>
    <col min="2" max="2" width="19.7109375" customWidth="1"/>
    <col min="3" max="3" width="9.28515625" customWidth="1"/>
    <col min="4" max="4" width="14.42578125" customWidth="1"/>
    <col min="5" max="5" width="8" customWidth="1"/>
    <col min="6" max="6" width="52.7109375" customWidth="1"/>
    <col min="7" max="7" width="31" customWidth="1"/>
    <col min="8" max="17" width="9" customWidth="1"/>
    <col min="18" max="26" width="8" customWidth="1"/>
  </cols>
  <sheetData>
    <row r="1" spans="1:26" ht="16.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">
      <c r="A2" s="3"/>
      <c r="B2" s="4"/>
      <c r="C2" s="130" t="s">
        <v>0</v>
      </c>
      <c r="D2" s="131"/>
      <c r="E2" s="131"/>
      <c r="F2" s="131"/>
      <c r="G2" s="13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2.5" customHeight="1" x14ac:dyDescent="0.25">
      <c r="A4" s="1"/>
      <c r="B4" s="9" t="s">
        <v>1</v>
      </c>
      <c r="C4" s="133" t="s">
        <v>2</v>
      </c>
      <c r="D4" s="131"/>
      <c r="E4" s="132"/>
      <c r="F4" s="9" t="s">
        <v>3</v>
      </c>
      <c r="G4" s="10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11" t="s">
        <v>5</v>
      </c>
      <c r="C5" s="134" t="s">
        <v>6</v>
      </c>
      <c r="D5" s="131"/>
      <c r="E5" s="132"/>
      <c r="F5" s="11" t="s">
        <v>7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35" t="s">
        <v>8</v>
      </c>
      <c r="C6" s="137" t="str">
        <f>C5&amp;"_"&amp;"Blackbox testcase"&amp;F9&amp;"v1.0"</f>
        <v>KH52_Blackbox testcasev1.0</v>
      </c>
      <c r="D6" s="138"/>
      <c r="E6" s="139"/>
      <c r="F6" s="11" t="s">
        <v>9</v>
      </c>
      <c r="G6" s="13">
        <v>45758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36"/>
      <c r="C7" s="140"/>
      <c r="D7" s="141"/>
      <c r="E7" s="142"/>
      <c r="F7" s="11" t="s">
        <v>10</v>
      </c>
      <c r="G7" s="14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25">
      <c r="A8" s="1"/>
      <c r="B8" s="15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5">
      <c r="A10" s="1"/>
      <c r="B10" s="16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">
      <c r="A11" s="17"/>
      <c r="B11" s="18" t="s">
        <v>12</v>
      </c>
      <c r="C11" s="19" t="s">
        <v>10</v>
      </c>
      <c r="D11" s="19" t="s">
        <v>13</v>
      </c>
      <c r="E11" s="19" t="s">
        <v>14</v>
      </c>
      <c r="F11" s="19" t="s">
        <v>15</v>
      </c>
      <c r="G11" s="20" t="s">
        <v>16</v>
      </c>
      <c r="H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6.5" customHeight="1" x14ac:dyDescent="0.2">
      <c r="A12" s="21"/>
      <c r="B12" s="22">
        <v>45758</v>
      </c>
      <c r="C12" s="23" t="s">
        <v>17</v>
      </c>
      <c r="D12" s="24"/>
      <c r="E12" s="25" t="s">
        <v>18</v>
      </c>
      <c r="F12" s="26" t="s">
        <v>60</v>
      </c>
      <c r="G12" s="27" t="s">
        <v>19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33" x14ac:dyDescent="0.2">
      <c r="A13" s="21"/>
      <c r="B13" s="22">
        <v>45849</v>
      </c>
      <c r="C13" s="23" t="s">
        <v>17</v>
      </c>
      <c r="D13" s="24"/>
      <c r="E13" s="25" t="s">
        <v>20</v>
      </c>
      <c r="F13" s="28" t="s">
        <v>21</v>
      </c>
      <c r="G13" s="27" t="s">
        <v>19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9.5" customHeight="1" x14ac:dyDescent="0.2">
      <c r="A14" s="21"/>
      <c r="B14" s="29"/>
      <c r="C14" s="23"/>
      <c r="D14" s="24"/>
      <c r="E14" s="25"/>
      <c r="F14" s="24"/>
      <c r="G14" s="30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1.75" customHeight="1" x14ac:dyDescent="0.2">
      <c r="A15" s="21"/>
      <c r="B15" s="31"/>
      <c r="C15" s="23"/>
      <c r="D15" s="24"/>
      <c r="E15" s="25"/>
      <c r="F15" s="24"/>
      <c r="G15" s="30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36.75" customHeight="1" x14ac:dyDescent="0.2">
      <c r="A16" s="21"/>
      <c r="B16" s="22"/>
      <c r="C16" s="23" t="s">
        <v>22</v>
      </c>
      <c r="D16" s="24"/>
      <c r="E16" s="25" t="s">
        <v>23</v>
      </c>
      <c r="F16" s="32" t="s">
        <v>24</v>
      </c>
      <c r="G16" s="27" t="s">
        <v>19</v>
      </c>
      <c r="H16" s="21"/>
      <c r="I16" s="33" t="s">
        <v>25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0.25" customHeight="1" x14ac:dyDescent="0.2">
      <c r="A17" s="21"/>
      <c r="B17" s="29"/>
      <c r="C17" s="23"/>
      <c r="D17" s="24"/>
      <c r="E17" s="25"/>
      <c r="F17" s="24"/>
      <c r="G17" s="30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1.75" customHeight="1" x14ac:dyDescent="0.2">
      <c r="A18" s="21"/>
      <c r="B18" s="34"/>
      <c r="C18" s="35"/>
      <c r="D18" s="36"/>
      <c r="E18" s="37"/>
      <c r="F18" s="36"/>
      <c r="G18" s="38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9.5" customHeight="1" x14ac:dyDescent="0.25">
      <c r="A19" s="21"/>
      <c r="B19" s="2"/>
      <c r="C19" s="1"/>
      <c r="D19" s="1"/>
      <c r="E19" s="1"/>
      <c r="F19" s="1"/>
      <c r="G19" s="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6.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/>
    <row r="222" spans="1:26" ht="12.75" x14ac:dyDescent="0.2"/>
    <row r="223" spans="1:26" ht="12.75" x14ac:dyDescent="0.2"/>
    <row r="224" spans="1:26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opLeftCell="C1" workbookViewId="0">
      <selection activeCell="D9" sqref="D9"/>
    </sheetView>
  </sheetViews>
  <sheetFormatPr defaultColWidth="12.7109375" defaultRowHeight="15.75" customHeight="1" x14ac:dyDescent="0.2"/>
  <cols>
    <col min="1" max="1" width="1.28515625" customWidth="1"/>
    <col min="2" max="2" width="11.7109375" customWidth="1"/>
    <col min="3" max="3" width="30.7109375" customWidth="1"/>
    <col min="4" max="4" width="26" customWidth="1"/>
    <col min="5" max="5" width="45.140625" customWidth="1"/>
    <col min="6" max="6" width="46.85546875" customWidth="1"/>
    <col min="7" max="16" width="9" customWidth="1"/>
    <col min="17" max="26" width="8" customWidth="1"/>
  </cols>
  <sheetData>
    <row r="1" spans="1:26" ht="16.5" customHeight="1" x14ac:dyDescent="0.25">
      <c r="A1" s="8"/>
      <c r="B1" s="39"/>
      <c r="C1" s="40"/>
      <c r="D1" s="41" t="s">
        <v>26</v>
      </c>
      <c r="E1" s="41"/>
      <c r="F1" s="40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5" customHeight="1" x14ac:dyDescent="0.25">
      <c r="A2" s="8"/>
      <c r="B2" s="39"/>
      <c r="C2" s="40"/>
      <c r="D2" s="42"/>
      <c r="E2" s="42"/>
      <c r="F2" s="40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25">
      <c r="A3" s="8"/>
      <c r="B3" s="143" t="s">
        <v>1</v>
      </c>
      <c r="C3" s="144"/>
      <c r="D3" s="145" t="str">
        <f>Cover!C4</f>
        <v>Xây dựng hệ thống quản lý kho hàng và bán lẻ cho cửa hàng điện thoại</v>
      </c>
      <c r="E3" s="131"/>
      <c r="F3" s="132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8"/>
      <c r="B4" s="143" t="s">
        <v>5</v>
      </c>
      <c r="C4" s="144"/>
      <c r="D4" s="145" t="str">
        <f>Cover!C5</f>
        <v>KH52</v>
      </c>
      <c r="E4" s="131"/>
      <c r="F4" s="132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69.75" customHeight="1" x14ac:dyDescent="0.25">
      <c r="A5" s="43"/>
      <c r="B5" s="146" t="s">
        <v>27</v>
      </c>
      <c r="C5" s="132"/>
      <c r="D5" s="147" t="s">
        <v>28</v>
      </c>
      <c r="E5" s="131"/>
      <c r="F5" s="132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6.5" customHeight="1" x14ac:dyDescent="0.25">
      <c r="A6" s="8"/>
      <c r="B6" s="44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customHeight="1" x14ac:dyDescent="0.2">
      <c r="A7" s="45"/>
      <c r="B7" s="46"/>
      <c r="C7" s="47"/>
      <c r="D7" s="47"/>
      <c r="E7" s="47"/>
      <c r="F7" s="47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21" customHeight="1" x14ac:dyDescent="0.25">
      <c r="A8" s="48"/>
      <c r="B8" s="49" t="s">
        <v>29</v>
      </c>
      <c r="C8" s="50" t="s">
        <v>30</v>
      </c>
      <c r="D8" s="50" t="s">
        <v>31</v>
      </c>
      <c r="E8" s="50" t="s">
        <v>32</v>
      </c>
      <c r="F8" s="51" t="s">
        <v>33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49.5" customHeight="1" x14ac:dyDescent="0.25">
      <c r="A9" s="8"/>
      <c r="B9" s="52">
        <f t="shared" ref="B9:B11" si="0">ROW(C9)-8</f>
        <v>1</v>
      </c>
      <c r="C9" s="53" t="s">
        <v>62</v>
      </c>
      <c r="D9" s="128" t="s">
        <v>64</v>
      </c>
      <c r="E9" s="55" t="s">
        <v>67</v>
      </c>
      <c r="F9" s="56" t="s">
        <v>65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49.5" customHeight="1" x14ac:dyDescent="0.25">
      <c r="A10" s="8"/>
      <c r="B10" s="52">
        <f t="shared" si="0"/>
        <v>2</v>
      </c>
      <c r="C10" s="53" t="s">
        <v>63</v>
      </c>
      <c r="D10" s="128" t="s">
        <v>63</v>
      </c>
      <c r="E10" s="55" t="s">
        <v>66</v>
      </c>
      <c r="F10" s="5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49.5" customHeight="1" x14ac:dyDescent="0.25">
      <c r="A11" s="8"/>
      <c r="B11" s="52">
        <f t="shared" si="0"/>
        <v>3</v>
      </c>
      <c r="C11" s="53"/>
      <c r="D11" s="54"/>
      <c r="E11" s="55"/>
      <c r="F11" s="5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.5" customHeight="1" x14ac:dyDescent="0.25">
      <c r="A12" s="8"/>
      <c r="B12" s="39"/>
      <c r="C12" s="40"/>
      <c r="D12" s="40"/>
      <c r="E12" s="40"/>
      <c r="F12" s="4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 x14ac:dyDescent="0.25">
      <c r="A13" s="8"/>
      <c r="B13" s="39"/>
      <c r="C13" s="40"/>
      <c r="D13" s="40"/>
      <c r="E13" s="40"/>
      <c r="F13" s="4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.5" customHeight="1" x14ac:dyDescent="0.25">
      <c r="A14" s="8"/>
      <c r="B14" s="39"/>
      <c r="C14" s="40"/>
      <c r="D14" s="40"/>
      <c r="E14" s="40"/>
      <c r="F14" s="4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.5" customHeight="1" x14ac:dyDescent="0.25">
      <c r="A15" s="8"/>
      <c r="B15" s="39"/>
      <c r="C15" s="40"/>
      <c r="D15" s="40"/>
      <c r="E15" s="40"/>
      <c r="F15" s="4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.5" customHeight="1" x14ac:dyDescent="0.25">
      <c r="A16" s="8"/>
      <c r="B16" s="39"/>
      <c r="C16" s="40"/>
      <c r="D16" s="40"/>
      <c r="E16" s="40"/>
      <c r="F16" s="40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.5" customHeight="1" x14ac:dyDescent="0.25">
      <c r="A17" s="8"/>
      <c r="B17" s="39"/>
      <c r="C17" s="40"/>
      <c r="D17" s="40"/>
      <c r="E17" s="40"/>
      <c r="F17" s="40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.5" customHeight="1" x14ac:dyDescent="0.25">
      <c r="A18" s="8"/>
      <c r="B18" s="39"/>
      <c r="C18" s="40"/>
      <c r="D18" s="40"/>
      <c r="E18" s="40"/>
      <c r="F18" s="40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.5" customHeight="1" x14ac:dyDescent="0.25">
      <c r="A19" s="8"/>
      <c r="B19" s="39"/>
      <c r="C19" s="40"/>
      <c r="D19" s="40"/>
      <c r="E19" s="40"/>
      <c r="F19" s="40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.5" customHeight="1" x14ac:dyDescent="0.25">
      <c r="A20" s="8"/>
      <c r="B20" s="39"/>
      <c r="C20" s="40"/>
      <c r="D20" s="40"/>
      <c r="E20" s="40"/>
      <c r="F20" s="40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.5" customHeight="1" x14ac:dyDescent="0.25">
      <c r="A21" s="8"/>
      <c r="B21" s="39"/>
      <c r="C21" s="40"/>
      <c r="D21" s="40"/>
      <c r="E21" s="40"/>
      <c r="F21" s="4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.5" customHeight="1" x14ac:dyDescent="0.25">
      <c r="A22" s="8"/>
      <c r="B22" s="39"/>
      <c r="C22" s="40"/>
      <c r="D22" s="40"/>
      <c r="E22" s="40"/>
      <c r="F22" s="4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.5" customHeight="1" x14ac:dyDescent="0.25">
      <c r="A23" s="8"/>
      <c r="B23" s="39"/>
      <c r="C23" s="40"/>
      <c r="D23" s="40"/>
      <c r="E23" s="40"/>
      <c r="F23" s="4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6.5" customHeight="1" x14ac:dyDescent="0.25">
      <c r="A24" s="8"/>
      <c r="B24" s="39"/>
      <c r="C24" s="40"/>
      <c r="D24" s="40"/>
      <c r="E24" s="40"/>
      <c r="F24" s="4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.5" customHeight="1" x14ac:dyDescent="0.25">
      <c r="A25" s="8"/>
      <c r="B25" s="39"/>
      <c r="C25" s="40"/>
      <c r="D25" s="40"/>
      <c r="E25" s="40"/>
      <c r="F25" s="4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6.5" customHeight="1" x14ac:dyDescent="0.25">
      <c r="A26" s="8"/>
      <c r="B26" s="39"/>
      <c r="C26" s="40"/>
      <c r="D26" s="40"/>
      <c r="E26" s="40"/>
      <c r="F26" s="4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6.5" customHeight="1" x14ac:dyDescent="0.25">
      <c r="A27" s="8"/>
      <c r="B27" s="39"/>
      <c r="C27" s="40"/>
      <c r="D27" s="40"/>
      <c r="E27" s="40"/>
      <c r="F27" s="4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.5" customHeight="1" x14ac:dyDescent="0.25">
      <c r="A28" s="8"/>
      <c r="B28" s="39"/>
      <c r="C28" s="40"/>
      <c r="D28" s="40"/>
      <c r="E28" s="40"/>
      <c r="F28" s="4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.5" customHeight="1" x14ac:dyDescent="0.25">
      <c r="A29" s="8"/>
      <c r="B29" s="39"/>
      <c r="C29" s="40"/>
      <c r="D29" s="40"/>
      <c r="E29" s="40"/>
      <c r="F29" s="4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6.5" customHeight="1" x14ac:dyDescent="0.25">
      <c r="A30" s="8"/>
      <c r="B30" s="39"/>
      <c r="C30" s="40"/>
      <c r="D30" s="40"/>
      <c r="E30" s="40"/>
      <c r="F30" s="4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.5" customHeight="1" x14ac:dyDescent="0.25">
      <c r="A31" s="8"/>
      <c r="B31" s="39"/>
      <c r="C31" s="40"/>
      <c r="D31" s="40"/>
      <c r="E31" s="40"/>
      <c r="F31" s="4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.5" customHeight="1" x14ac:dyDescent="0.25">
      <c r="A32" s="8"/>
      <c r="B32" s="39"/>
      <c r="C32" s="40"/>
      <c r="D32" s="40"/>
      <c r="E32" s="40"/>
      <c r="F32" s="4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.5" customHeight="1" x14ac:dyDescent="0.25">
      <c r="A33" s="8"/>
      <c r="B33" s="39"/>
      <c r="C33" s="40"/>
      <c r="D33" s="40"/>
      <c r="E33" s="40"/>
      <c r="F33" s="4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6.5" customHeight="1" x14ac:dyDescent="0.25">
      <c r="A34" s="8"/>
      <c r="B34" s="39"/>
      <c r="C34" s="40"/>
      <c r="D34" s="40"/>
      <c r="E34" s="40"/>
      <c r="F34" s="4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.5" customHeight="1" x14ac:dyDescent="0.25">
      <c r="A35" s="8"/>
      <c r="B35" s="39"/>
      <c r="C35" s="40"/>
      <c r="D35" s="40"/>
      <c r="E35" s="40"/>
      <c r="F35" s="4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.5" customHeight="1" x14ac:dyDescent="0.25">
      <c r="A36" s="8"/>
      <c r="B36" s="39"/>
      <c r="C36" s="40"/>
      <c r="D36" s="40"/>
      <c r="E36" s="40"/>
      <c r="F36" s="4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.5" customHeight="1" x14ac:dyDescent="0.25">
      <c r="A37" s="8"/>
      <c r="B37" s="39"/>
      <c r="C37" s="40"/>
      <c r="D37" s="40"/>
      <c r="E37" s="40"/>
      <c r="F37" s="4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 customHeight="1" x14ac:dyDescent="0.25">
      <c r="A38" s="8"/>
      <c r="B38" s="39"/>
      <c r="C38" s="40"/>
      <c r="D38" s="40"/>
      <c r="E38" s="40"/>
      <c r="F38" s="4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 customHeight="1" x14ac:dyDescent="0.25">
      <c r="A39" s="8"/>
      <c r="B39" s="39"/>
      <c r="C39" s="40"/>
      <c r="D39" s="40"/>
      <c r="E39" s="40"/>
      <c r="F39" s="4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 customHeight="1" x14ac:dyDescent="0.25">
      <c r="A40" s="8"/>
      <c r="B40" s="39"/>
      <c r="C40" s="40"/>
      <c r="D40" s="40"/>
      <c r="E40" s="40"/>
      <c r="F40" s="4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 customHeight="1" x14ac:dyDescent="0.25">
      <c r="A41" s="8"/>
      <c r="B41" s="39"/>
      <c r="C41" s="40"/>
      <c r="D41" s="40"/>
      <c r="E41" s="40"/>
      <c r="F41" s="4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 customHeight="1" x14ac:dyDescent="0.25">
      <c r="A42" s="8"/>
      <c r="B42" s="39"/>
      <c r="C42" s="40"/>
      <c r="D42" s="40"/>
      <c r="E42" s="40"/>
      <c r="F42" s="4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 customHeight="1" x14ac:dyDescent="0.25">
      <c r="A43" s="8"/>
      <c r="B43" s="39"/>
      <c r="C43" s="40"/>
      <c r="D43" s="40"/>
      <c r="E43" s="40"/>
      <c r="F43" s="4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 customHeight="1" x14ac:dyDescent="0.25">
      <c r="A44" s="8"/>
      <c r="B44" s="39"/>
      <c r="C44" s="40"/>
      <c r="D44" s="40"/>
      <c r="E44" s="40"/>
      <c r="F44" s="4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 customHeight="1" x14ac:dyDescent="0.25">
      <c r="A45" s="8"/>
      <c r="B45" s="39"/>
      <c r="C45" s="40"/>
      <c r="D45" s="40"/>
      <c r="E45" s="40"/>
      <c r="F45" s="4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 customHeight="1" x14ac:dyDescent="0.25">
      <c r="A46" s="8"/>
      <c r="B46" s="39"/>
      <c r="C46" s="40"/>
      <c r="D46" s="40"/>
      <c r="E46" s="40"/>
      <c r="F46" s="4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 customHeight="1" x14ac:dyDescent="0.25">
      <c r="A47" s="8"/>
      <c r="B47" s="39"/>
      <c r="C47" s="40"/>
      <c r="D47" s="40"/>
      <c r="E47" s="40"/>
      <c r="F47" s="4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 customHeight="1" x14ac:dyDescent="0.25">
      <c r="A48" s="8"/>
      <c r="B48" s="39"/>
      <c r="C48" s="40"/>
      <c r="D48" s="40"/>
      <c r="E48" s="40"/>
      <c r="F48" s="4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 customHeight="1" x14ac:dyDescent="0.25">
      <c r="A49" s="8"/>
      <c r="B49" s="39"/>
      <c r="C49" s="40"/>
      <c r="D49" s="40"/>
      <c r="E49" s="40"/>
      <c r="F49" s="4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 customHeight="1" x14ac:dyDescent="0.25">
      <c r="A50" s="8"/>
      <c r="B50" s="39"/>
      <c r="C50" s="40"/>
      <c r="D50" s="40"/>
      <c r="E50" s="40"/>
      <c r="F50" s="4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 customHeight="1" x14ac:dyDescent="0.25">
      <c r="A51" s="8"/>
      <c r="B51" s="39"/>
      <c r="C51" s="40"/>
      <c r="D51" s="40"/>
      <c r="E51" s="40"/>
      <c r="F51" s="4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 customHeight="1" x14ac:dyDescent="0.25">
      <c r="A52" s="8"/>
      <c r="B52" s="39"/>
      <c r="C52" s="40"/>
      <c r="D52" s="40"/>
      <c r="E52" s="40"/>
      <c r="F52" s="4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 customHeight="1" x14ac:dyDescent="0.25">
      <c r="A53" s="8"/>
      <c r="B53" s="39"/>
      <c r="C53" s="40"/>
      <c r="D53" s="40"/>
      <c r="E53" s="40"/>
      <c r="F53" s="4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 customHeight="1" x14ac:dyDescent="0.25">
      <c r="A54" s="8"/>
      <c r="B54" s="39"/>
      <c r="C54" s="40"/>
      <c r="D54" s="40"/>
      <c r="E54" s="40"/>
      <c r="F54" s="4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 customHeight="1" x14ac:dyDescent="0.25">
      <c r="A55" s="8"/>
      <c r="B55" s="39"/>
      <c r="C55" s="40"/>
      <c r="D55" s="40"/>
      <c r="E55" s="40"/>
      <c r="F55" s="4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 customHeight="1" x14ac:dyDescent="0.25">
      <c r="A56" s="8"/>
      <c r="B56" s="39"/>
      <c r="C56" s="40"/>
      <c r="D56" s="40"/>
      <c r="E56" s="40"/>
      <c r="F56" s="4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 customHeight="1" x14ac:dyDescent="0.25">
      <c r="A57" s="8"/>
      <c r="B57" s="39"/>
      <c r="C57" s="40"/>
      <c r="D57" s="40"/>
      <c r="E57" s="40"/>
      <c r="F57" s="4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 customHeight="1" x14ac:dyDescent="0.25">
      <c r="A58" s="8"/>
      <c r="B58" s="39"/>
      <c r="C58" s="40"/>
      <c r="D58" s="40"/>
      <c r="E58" s="40"/>
      <c r="F58" s="4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 customHeight="1" x14ac:dyDescent="0.25">
      <c r="A59" s="8"/>
      <c r="B59" s="39"/>
      <c r="C59" s="40"/>
      <c r="D59" s="40"/>
      <c r="E59" s="40"/>
      <c r="F59" s="4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 customHeight="1" x14ac:dyDescent="0.25">
      <c r="A60" s="8"/>
      <c r="B60" s="39"/>
      <c r="C60" s="40"/>
      <c r="D60" s="40"/>
      <c r="E60" s="40"/>
      <c r="F60" s="4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 customHeight="1" x14ac:dyDescent="0.25">
      <c r="A61" s="8"/>
      <c r="B61" s="39"/>
      <c r="C61" s="40"/>
      <c r="D61" s="40"/>
      <c r="E61" s="40"/>
      <c r="F61" s="4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 customHeight="1" x14ac:dyDescent="0.25">
      <c r="A62" s="8"/>
      <c r="B62" s="39"/>
      <c r="C62" s="40"/>
      <c r="D62" s="40"/>
      <c r="E62" s="40"/>
      <c r="F62" s="4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 customHeight="1" x14ac:dyDescent="0.25">
      <c r="A63" s="8"/>
      <c r="B63" s="39"/>
      <c r="C63" s="40"/>
      <c r="D63" s="40"/>
      <c r="E63" s="40"/>
      <c r="F63" s="4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 customHeight="1" x14ac:dyDescent="0.25">
      <c r="A64" s="8"/>
      <c r="B64" s="39"/>
      <c r="C64" s="40"/>
      <c r="D64" s="40"/>
      <c r="E64" s="40"/>
      <c r="F64" s="4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 customHeight="1" x14ac:dyDescent="0.25">
      <c r="A65" s="8"/>
      <c r="B65" s="39"/>
      <c r="C65" s="40"/>
      <c r="D65" s="40"/>
      <c r="E65" s="40"/>
      <c r="F65" s="4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 customHeight="1" x14ac:dyDescent="0.25">
      <c r="A66" s="8"/>
      <c r="B66" s="39"/>
      <c r="C66" s="40"/>
      <c r="D66" s="40"/>
      <c r="E66" s="40"/>
      <c r="F66" s="4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 customHeight="1" x14ac:dyDescent="0.25">
      <c r="A67" s="8"/>
      <c r="B67" s="39"/>
      <c r="C67" s="40"/>
      <c r="D67" s="40"/>
      <c r="E67" s="40"/>
      <c r="F67" s="4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 customHeight="1" x14ac:dyDescent="0.25">
      <c r="A68" s="8"/>
      <c r="B68" s="39"/>
      <c r="C68" s="40"/>
      <c r="D68" s="40"/>
      <c r="E68" s="40"/>
      <c r="F68" s="4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 customHeight="1" x14ac:dyDescent="0.25">
      <c r="A69" s="8"/>
      <c r="B69" s="39"/>
      <c r="C69" s="40"/>
      <c r="D69" s="40"/>
      <c r="E69" s="40"/>
      <c r="F69" s="4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 customHeight="1" x14ac:dyDescent="0.25">
      <c r="A70" s="8"/>
      <c r="B70" s="39"/>
      <c r="C70" s="40"/>
      <c r="D70" s="40"/>
      <c r="E70" s="40"/>
      <c r="F70" s="4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 customHeight="1" x14ac:dyDescent="0.25">
      <c r="A71" s="8"/>
      <c r="B71" s="39"/>
      <c r="C71" s="40"/>
      <c r="D71" s="40"/>
      <c r="E71" s="40"/>
      <c r="F71" s="4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 customHeight="1" x14ac:dyDescent="0.25">
      <c r="A72" s="8"/>
      <c r="B72" s="39"/>
      <c r="C72" s="40"/>
      <c r="D72" s="40"/>
      <c r="E72" s="40"/>
      <c r="F72" s="4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 customHeight="1" x14ac:dyDescent="0.25">
      <c r="A73" s="8"/>
      <c r="B73" s="39"/>
      <c r="C73" s="40"/>
      <c r="D73" s="40"/>
      <c r="E73" s="40"/>
      <c r="F73" s="4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 customHeight="1" x14ac:dyDescent="0.25">
      <c r="A74" s="8"/>
      <c r="B74" s="39"/>
      <c r="C74" s="40"/>
      <c r="D74" s="40"/>
      <c r="E74" s="40"/>
      <c r="F74" s="4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 customHeight="1" x14ac:dyDescent="0.25">
      <c r="A75" s="8"/>
      <c r="B75" s="39"/>
      <c r="C75" s="40"/>
      <c r="D75" s="40"/>
      <c r="E75" s="40"/>
      <c r="F75" s="4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 customHeight="1" x14ac:dyDescent="0.25">
      <c r="A76" s="8"/>
      <c r="B76" s="39"/>
      <c r="C76" s="40"/>
      <c r="D76" s="40"/>
      <c r="E76" s="40"/>
      <c r="F76" s="4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 customHeight="1" x14ac:dyDescent="0.25">
      <c r="A77" s="8"/>
      <c r="B77" s="39"/>
      <c r="C77" s="40"/>
      <c r="D77" s="40"/>
      <c r="E77" s="40"/>
      <c r="F77" s="4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 customHeight="1" x14ac:dyDescent="0.25">
      <c r="A78" s="8"/>
      <c r="B78" s="39"/>
      <c r="C78" s="40"/>
      <c r="D78" s="40"/>
      <c r="E78" s="40"/>
      <c r="F78" s="4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 customHeight="1" x14ac:dyDescent="0.25">
      <c r="A79" s="8"/>
      <c r="B79" s="39"/>
      <c r="C79" s="40"/>
      <c r="D79" s="40"/>
      <c r="E79" s="40"/>
      <c r="F79" s="4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 customHeight="1" x14ac:dyDescent="0.25">
      <c r="A80" s="8"/>
      <c r="B80" s="39"/>
      <c r="C80" s="40"/>
      <c r="D80" s="40"/>
      <c r="E80" s="40"/>
      <c r="F80" s="4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 customHeight="1" x14ac:dyDescent="0.25">
      <c r="A81" s="8"/>
      <c r="B81" s="39"/>
      <c r="C81" s="40"/>
      <c r="D81" s="40"/>
      <c r="E81" s="40"/>
      <c r="F81" s="4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 customHeight="1" x14ac:dyDescent="0.25">
      <c r="A82" s="8"/>
      <c r="B82" s="39"/>
      <c r="C82" s="40"/>
      <c r="D82" s="40"/>
      <c r="E82" s="40"/>
      <c r="F82" s="4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 customHeight="1" x14ac:dyDescent="0.25">
      <c r="A83" s="8"/>
      <c r="B83" s="39"/>
      <c r="C83" s="40"/>
      <c r="D83" s="40"/>
      <c r="E83" s="40"/>
      <c r="F83" s="4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 customHeight="1" x14ac:dyDescent="0.25">
      <c r="A84" s="8"/>
      <c r="B84" s="39"/>
      <c r="C84" s="40"/>
      <c r="D84" s="40"/>
      <c r="E84" s="40"/>
      <c r="F84" s="4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 customHeight="1" x14ac:dyDescent="0.25">
      <c r="A85" s="8"/>
      <c r="B85" s="39"/>
      <c r="C85" s="40"/>
      <c r="D85" s="40"/>
      <c r="E85" s="40"/>
      <c r="F85" s="4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 customHeight="1" x14ac:dyDescent="0.25">
      <c r="A86" s="8"/>
      <c r="B86" s="39"/>
      <c r="C86" s="40"/>
      <c r="D86" s="40"/>
      <c r="E86" s="40"/>
      <c r="F86" s="4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 customHeight="1" x14ac:dyDescent="0.25">
      <c r="A87" s="8"/>
      <c r="B87" s="39"/>
      <c r="C87" s="40"/>
      <c r="D87" s="40"/>
      <c r="E87" s="40"/>
      <c r="F87" s="4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 customHeight="1" x14ac:dyDescent="0.25">
      <c r="A88" s="8"/>
      <c r="B88" s="39"/>
      <c r="C88" s="40"/>
      <c r="D88" s="40"/>
      <c r="E88" s="40"/>
      <c r="F88" s="4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 customHeight="1" x14ac:dyDescent="0.25">
      <c r="A89" s="8"/>
      <c r="B89" s="39"/>
      <c r="C89" s="40"/>
      <c r="D89" s="40"/>
      <c r="E89" s="40"/>
      <c r="F89" s="4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 customHeight="1" x14ac:dyDescent="0.25">
      <c r="A90" s="8"/>
      <c r="B90" s="39"/>
      <c r="C90" s="40"/>
      <c r="D90" s="40"/>
      <c r="E90" s="40"/>
      <c r="F90" s="4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 customHeight="1" x14ac:dyDescent="0.25">
      <c r="A91" s="8"/>
      <c r="B91" s="39"/>
      <c r="C91" s="40"/>
      <c r="D91" s="40"/>
      <c r="E91" s="40"/>
      <c r="F91" s="4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 customHeight="1" x14ac:dyDescent="0.25">
      <c r="A92" s="8"/>
      <c r="B92" s="39"/>
      <c r="C92" s="40"/>
      <c r="D92" s="40"/>
      <c r="E92" s="40"/>
      <c r="F92" s="4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 customHeight="1" x14ac:dyDescent="0.25">
      <c r="A93" s="8"/>
      <c r="B93" s="39"/>
      <c r="C93" s="40"/>
      <c r="D93" s="40"/>
      <c r="E93" s="40"/>
      <c r="F93" s="4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 customHeight="1" x14ac:dyDescent="0.25">
      <c r="A94" s="8"/>
      <c r="B94" s="39"/>
      <c r="C94" s="40"/>
      <c r="D94" s="40"/>
      <c r="E94" s="40"/>
      <c r="F94" s="4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 customHeight="1" x14ac:dyDescent="0.25">
      <c r="A95" s="8"/>
      <c r="B95" s="39"/>
      <c r="C95" s="40"/>
      <c r="D95" s="40"/>
      <c r="E95" s="40"/>
      <c r="F95" s="4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 customHeight="1" x14ac:dyDescent="0.25">
      <c r="A96" s="8"/>
      <c r="B96" s="39"/>
      <c r="C96" s="40"/>
      <c r="D96" s="40"/>
      <c r="E96" s="40"/>
      <c r="F96" s="4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 customHeight="1" x14ac:dyDescent="0.25">
      <c r="A97" s="8"/>
      <c r="B97" s="39"/>
      <c r="C97" s="40"/>
      <c r="D97" s="40"/>
      <c r="E97" s="40"/>
      <c r="F97" s="4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 customHeight="1" x14ac:dyDescent="0.25">
      <c r="A98" s="8"/>
      <c r="B98" s="39"/>
      <c r="C98" s="40"/>
      <c r="D98" s="40"/>
      <c r="E98" s="40"/>
      <c r="F98" s="4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 customHeight="1" x14ac:dyDescent="0.25">
      <c r="A99" s="8"/>
      <c r="B99" s="39"/>
      <c r="C99" s="40"/>
      <c r="D99" s="40"/>
      <c r="E99" s="40"/>
      <c r="F99" s="4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 customHeight="1" x14ac:dyDescent="0.25">
      <c r="A100" s="8"/>
      <c r="B100" s="39"/>
      <c r="C100" s="40"/>
      <c r="D100" s="40"/>
      <c r="E100" s="40"/>
      <c r="F100" s="4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 customHeight="1" x14ac:dyDescent="0.25">
      <c r="A101" s="8"/>
      <c r="B101" s="39"/>
      <c r="C101" s="40"/>
      <c r="D101" s="40"/>
      <c r="E101" s="40"/>
      <c r="F101" s="4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 customHeight="1" x14ac:dyDescent="0.25">
      <c r="A102" s="8"/>
      <c r="B102" s="39"/>
      <c r="C102" s="40"/>
      <c r="D102" s="40"/>
      <c r="E102" s="40"/>
      <c r="F102" s="4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 customHeight="1" x14ac:dyDescent="0.25">
      <c r="A103" s="8"/>
      <c r="B103" s="39"/>
      <c r="C103" s="40"/>
      <c r="D103" s="40"/>
      <c r="E103" s="40"/>
      <c r="F103" s="4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 customHeight="1" x14ac:dyDescent="0.25">
      <c r="A104" s="8"/>
      <c r="B104" s="39"/>
      <c r="C104" s="40"/>
      <c r="D104" s="40"/>
      <c r="E104" s="40"/>
      <c r="F104" s="4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 customHeight="1" x14ac:dyDescent="0.25">
      <c r="A105" s="8"/>
      <c r="B105" s="39"/>
      <c r="C105" s="40"/>
      <c r="D105" s="40"/>
      <c r="E105" s="40"/>
      <c r="F105" s="4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 customHeight="1" x14ac:dyDescent="0.25">
      <c r="A106" s="8"/>
      <c r="B106" s="39"/>
      <c r="C106" s="40"/>
      <c r="D106" s="40"/>
      <c r="E106" s="40"/>
      <c r="F106" s="4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 customHeight="1" x14ac:dyDescent="0.25">
      <c r="A107" s="8"/>
      <c r="B107" s="39"/>
      <c r="C107" s="40"/>
      <c r="D107" s="40"/>
      <c r="E107" s="40"/>
      <c r="F107" s="4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 customHeight="1" x14ac:dyDescent="0.25">
      <c r="A108" s="8"/>
      <c r="B108" s="39"/>
      <c r="C108" s="40"/>
      <c r="D108" s="40"/>
      <c r="E108" s="40"/>
      <c r="F108" s="4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 customHeight="1" x14ac:dyDescent="0.25">
      <c r="A109" s="8"/>
      <c r="B109" s="39"/>
      <c r="C109" s="40"/>
      <c r="D109" s="40"/>
      <c r="E109" s="40"/>
      <c r="F109" s="4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 customHeight="1" x14ac:dyDescent="0.25">
      <c r="A110" s="8"/>
      <c r="B110" s="39"/>
      <c r="C110" s="40"/>
      <c r="D110" s="40"/>
      <c r="E110" s="40"/>
      <c r="F110" s="4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 customHeight="1" x14ac:dyDescent="0.25">
      <c r="A111" s="8"/>
      <c r="B111" s="39"/>
      <c r="C111" s="40"/>
      <c r="D111" s="40"/>
      <c r="E111" s="40"/>
      <c r="F111" s="4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 customHeight="1" x14ac:dyDescent="0.25">
      <c r="A112" s="8"/>
      <c r="B112" s="39"/>
      <c r="C112" s="40"/>
      <c r="D112" s="40"/>
      <c r="E112" s="40"/>
      <c r="F112" s="4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 customHeight="1" x14ac:dyDescent="0.25">
      <c r="A113" s="8"/>
      <c r="B113" s="39"/>
      <c r="C113" s="40"/>
      <c r="D113" s="40"/>
      <c r="E113" s="40"/>
      <c r="F113" s="4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 customHeight="1" x14ac:dyDescent="0.25">
      <c r="A114" s="8"/>
      <c r="B114" s="39"/>
      <c r="C114" s="40"/>
      <c r="D114" s="40"/>
      <c r="E114" s="40"/>
      <c r="F114" s="4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 customHeight="1" x14ac:dyDescent="0.25">
      <c r="A115" s="8"/>
      <c r="B115" s="39"/>
      <c r="C115" s="40"/>
      <c r="D115" s="40"/>
      <c r="E115" s="40"/>
      <c r="F115" s="4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 customHeight="1" x14ac:dyDescent="0.25">
      <c r="A116" s="8"/>
      <c r="B116" s="39"/>
      <c r="C116" s="40"/>
      <c r="D116" s="40"/>
      <c r="E116" s="40"/>
      <c r="F116" s="4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 customHeight="1" x14ac:dyDescent="0.25">
      <c r="A117" s="8"/>
      <c r="B117" s="39"/>
      <c r="C117" s="40"/>
      <c r="D117" s="40"/>
      <c r="E117" s="40"/>
      <c r="F117" s="4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 customHeight="1" x14ac:dyDescent="0.25">
      <c r="A118" s="8"/>
      <c r="B118" s="39"/>
      <c r="C118" s="40"/>
      <c r="D118" s="40"/>
      <c r="E118" s="40"/>
      <c r="F118" s="4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 customHeight="1" x14ac:dyDescent="0.25">
      <c r="A119" s="8"/>
      <c r="B119" s="39"/>
      <c r="C119" s="40"/>
      <c r="D119" s="40"/>
      <c r="E119" s="40"/>
      <c r="F119" s="4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 customHeight="1" x14ac:dyDescent="0.25">
      <c r="A120" s="8"/>
      <c r="B120" s="39"/>
      <c r="C120" s="40"/>
      <c r="D120" s="40"/>
      <c r="E120" s="40"/>
      <c r="F120" s="4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 customHeight="1" x14ac:dyDescent="0.25">
      <c r="A121" s="8"/>
      <c r="B121" s="39"/>
      <c r="C121" s="40"/>
      <c r="D121" s="40"/>
      <c r="E121" s="40"/>
      <c r="F121" s="4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 customHeight="1" x14ac:dyDescent="0.25">
      <c r="A122" s="8"/>
      <c r="B122" s="39"/>
      <c r="C122" s="40"/>
      <c r="D122" s="40"/>
      <c r="E122" s="40"/>
      <c r="F122" s="4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 customHeight="1" x14ac:dyDescent="0.25">
      <c r="A123" s="8"/>
      <c r="B123" s="39"/>
      <c r="C123" s="40"/>
      <c r="D123" s="40"/>
      <c r="E123" s="40"/>
      <c r="F123" s="4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 customHeight="1" x14ac:dyDescent="0.25">
      <c r="A124" s="8"/>
      <c r="B124" s="39"/>
      <c r="C124" s="40"/>
      <c r="D124" s="40"/>
      <c r="E124" s="40"/>
      <c r="F124" s="4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 customHeight="1" x14ac:dyDescent="0.25">
      <c r="A125" s="8"/>
      <c r="B125" s="39"/>
      <c r="C125" s="40"/>
      <c r="D125" s="40"/>
      <c r="E125" s="40"/>
      <c r="F125" s="4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 customHeight="1" x14ac:dyDescent="0.25">
      <c r="A126" s="8"/>
      <c r="B126" s="39"/>
      <c r="C126" s="40"/>
      <c r="D126" s="40"/>
      <c r="E126" s="40"/>
      <c r="F126" s="4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 customHeight="1" x14ac:dyDescent="0.25">
      <c r="A127" s="8"/>
      <c r="B127" s="39"/>
      <c r="C127" s="40"/>
      <c r="D127" s="40"/>
      <c r="E127" s="40"/>
      <c r="F127" s="4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 customHeight="1" x14ac:dyDescent="0.25">
      <c r="A128" s="8"/>
      <c r="B128" s="39"/>
      <c r="C128" s="40"/>
      <c r="D128" s="40"/>
      <c r="E128" s="40"/>
      <c r="F128" s="4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 customHeight="1" x14ac:dyDescent="0.25">
      <c r="A129" s="8"/>
      <c r="B129" s="39"/>
      <c r="C129" s="40"/>
      <c r="D129" s="40"/>
      <c r="E129" s="40"/>
      <c r="F129" s="4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 customHeight="1" x14ac:dyDescent="0.25">
      <c r="A130" s="8"/>
      <c r="B130" s="39"/>
      <c r="C130" s="40"/>
      <c r="D130" s="40"/>
      <c r="E130" s="40"/>
      <c r="F130" s="4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 customHeight="1" x14ac:dyDescent="0.25">
      <c r="A131" s="8"/>
      <c r="B131" s="39"/>
      <c r="C131" s="40"/>
      <c r="D131" s="40"/>
      <c r="E131" s="40"/>
      <c r="F131" s="4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 customHeight="1" x14ac:dyDescent="0.25">
      <c r="A132" s="8"/>
      <c r="B132" s="39"/>
      <c r="C132" s="40"/>
      <c r="D132" s="40"/>
      <c r="E132" s="40"/>
      <c r="F132" s="4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 customHeight="1" x14ac:dyDescent="0.25">
      <c r="A133" s="8"/>
      <c r="B133" s="39"/>
      <c r="C133" s="40"/>
      <c r="D133" s="40"/>
      <c r="E133" s="40"/>
      <c r="F133" s="4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 customHeight="1" x14ac:dyDescent="0.25">
      <c r="A134" s="8"/>
      <c r="B134" s="39"/>
      <c r="C134" s="40"/>
      <c r="D134" s="40"/>
      <c r="E134" s="40"/>
      <c r="F134" s="4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 customHeight="1" x14ac:dyDescent="0.25">
      <c r="A135" s="8"/>
      <c r="B135" s="39"/>
      <c r="C135" s="40"/>
      <c r="D135" s="40"/>
      <c r="E135" s="40"/>
      <c r="F135" s="4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 customHeight="1" x14ac:dyDescent="0.25">
      <c r="A136" s="8"/>
      <c r="B136" s="39"/>
      <c r="C136" s="40"/>
      <c r="D136" s="40"/>
      <c r="E136" s="40"/>
      <c r="F136" s="4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 customHeight="1" x14ac:dyDescent="0.25">
      <c r="A137" s="8"/>
      <c r="B137" s="39"/>
      <c r="C137" s="40"/>
      <c r="D137" s="40"/>
      <c r="E137" s="40"/>
      <c r="F137" s="4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 customHeight="1" x14ac:dyDescent="0.25">
      <c r="A138" s="8"/>
      <c r="B138" s="39"/>
      <c r="C138" s="40"/>
      <c r="D138" s="40"/>
      <c r="E138" s="40"/>
      <c r="F138" s="4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 customHeight="1" x14ac:dyDescent="0.25">
      <c r="A139" s="8"/>
      <c r="B139" s="39"/>
      <c r="C139" s="40"/>
      <c r="D139" s="40"/>
      <c r="E139" s="40"/>
      <c r="F139" s="4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 customHeight="1" x14ac:dyDescent="0.25">
      <c r="A140" s="8"/>
      <c r="B140" s="39"/>
      <c r="C140" s="40"/>
      <c r="D140" s="40"/>
      <c r="E140" s="40"/>
      <c r="F140" s="4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 customHeight="1" x14ac:dyDescent="0.25">
      <c r="A141" s="8"/>
      <c r="B141" s="39"/>
      <c r="C141" s="40"/>
      <c r="D141" s="40"/>
      <c r="E141" s="40"/>
      <c r="F141" s="4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 customHeight="1" x14ac:dyDescent="0.25">
      <c r="A142" s="8"/>
      <c r="B142" s="39"/>
      <c r="C142" s="40"/>
      <c r="D142" s="40"/>
      <c r="E142" s="40"/>
      <c r="F142" s="4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 customHeight="1" x14ac:dyDescent="0.25">
      <c r="A143" s="8"/>
      <c r="B143" s="39"/>
      <c r="C143" s="40"/>
      <c r="D143" s="40"/>
      <c r="E143" s="40"/>
      <c r="F143" s="4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 customHeight="1" x14ac:dyDescent="0.25">
      <c r="A144" s="8"/>
      <c r="B144" s="39"/>
      <c r="C144" s="40"/>
      <c r="D144" s="40"/>
      <c r="E144" s="40"/>
      <c r="F144" s="4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 customHeight="1" x14ac:dyDescent="0.25">
      <c r="A145" s="8"/>
      <c r="B145" s="39"/>
      <c r="C145" s="40"/>
      <c r="D145" s="40"/>
      <c r="E145" s="40"/>
      <c r="F145" s="4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 customHeight="1" x14ac:dyDescent="0.25">
      <c r="A146" s="8"/>
      <c r="B146" s="39"/>
      <c r="C146" s="40"/>
      <c r="D146" s="40"/>
      <c r="E146" s="40"/>
      <c r="F146" s="4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 customHeight="1" x14ac:dyDescent="0.25">
      <c r="A147" s="8"/>
      <c r="B147" s="39"/>
      <c r="C147" s="40"/>
      <c r="D147" s="40"/>
      <c r="E147" s="40"/>
      <c r="F147" s="4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 customHeight="1" x14ac:dyDescent="0.25">
      <c r="A148" s="8"/>
      <c r="B148" s="39"/>
      <c r="C148" s="40"/>
      <c r="D148" s="40"/>
      <c r="E148" s="40"/>
      <c r="F148" s="4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 customHeight="1" x14ac:dyDescent="0.25">
      <c r="A149" s="8"/>
      <c r="B149" s="39"/>
      <c r="C149" s="40"/>
      <c r="D149" s="40"/>
      <c r="E149" s="40"/>
      <c r="F149" s="4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 customHeight="1" x14ac:dyDescent="0.25">
      <c r="A150" s="8"/>
      <c r="B150" s="39"/>
      <c r="C150" s="40"/>
      <c r="D150" s="40"/>
      <c r="E150" s="40"/>
      <c r="F150" s="4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 customHeight="1" x14ac:dyDescent="0.25">
      <c r="A151" s="8"/>
      <c r="B151" s="39"/>
      <c r="C151" s="40"/>
      <c r="D151" s="40"/>
      <c r="E151" s="40"/>
      <c r="F151" s="4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 customHeight="1" x14ac:dyDescent="0.25">
      <c r="A152" s="8"/>
      <c r="B152" s="39"/>
      <c r="C152" s="40"/>
      <c r="D152" s="40"/>
      <c r="E152" s="40"/>
      <c r="F152" s="4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 customHeight="1" x14ac:dyDescent="0.25">
      <c r="A153" s="8"/>
      <c r="B153" s="39"/>
      <c r="C153" s="40"/>
      <c r="D153" s="40"/>
      <c r="E153" s="40"/>
      <c r="F153" s="4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 customHeight="1" x14ac:dyDescent="0.25">
      <c r="A154" s="8"/>
      <c r="B154" s="39"/>
      <c r="C154" s="40"/>
      <c r="D154" s="40"/>
      <c r="E154" s="40"/>
      <c r="F154" s="4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 customHeight="1" x14ac:dyDescent="0.25">
      <c r="A155" s="8"/>
      <c r="B155" s="39"/>
      <c r="C155" s="40"/>
      <c r="D155" s="40"/>
      <c r="E155" s="40"/>
      <c r="F155" s="4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 customHeight="1" x14ac:dyDescent="0.25">
      <c r="A156" s="8"/>
      <c r="B156" s="39"/>
      <c r="C156" s="40"/>
      <c r="D156" s="40"/>
      <c r="E156" s="40"/>
      <c r="F156" s="4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 customHeight="1" x14ac:dyDescent="0.25">
      <c r="A157" s="8"/>
      <c r="B157" s="39"/>
      <c r="C157" s="40"/>
      <c r="D157" s="40"/>
      <c r="E157" s="40"/>
      <c r="F157" s="4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 customHeight="1" x14ac:dyDescent="0.25">
      <c r="A158" s="8"/>
      <c r="B158" s="39"/>
      <c r="C158" s="40"/>
      <c r="D158" s="40"/>
      <c r="E158" s="40"/>
      <c r="F158" s="4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 customHeight="1" x14ac:dyDescent="0.25">
      <c r="A159" s="8"/>
      <c r="B159" s="39"/>
      <c r="C159" s="40"/>
      <c r="D159" s="40"/>
      <c r="E159" s="40"/>
      <c r="F159" s="4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 customHeight="1" x14ac:dyDescent="0.25">
      <c r="A160" s="8"/>
      <c r="B160" s="39"/>
      <c r="C160" s="40"/>
      <c r="D160" s="40"/>
      <c r="E160" s="40"/>
      <c r="F160" s="4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 customHeight="1" x14ac:dyDescent="0.25">
      <c r="A161" s="8"/>
      <c r="B161" s="39"/>
      <c r="C161" s="40"/>
      <c r="D161" s="40"/>
      <c r="E161" s="40"/>
      <c r="F161" s="4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 customHeight="1" x14ac:dyDescent="0.25">
      <c r="A162" s="8"/>
      <c r="B162" s="39"/>
      <c r="C162" s="40"/>
      <c r="D162" s="40"/>
      <c r="E162" s="40"/>
      <c r="F162" s="4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 customHeight="1" x14ac:dyDescent="0.25">
      <c r="A163" s="8"/>
      <c r="B163" s="39"/>
      <c r="C163" s="40"/>
      <c r="D163" s="40"/>
      <c r="E163" s="40"/>
      <c r="F163" s="4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 customHeight="1" x14ac:dyDescent="0.25">
      <c r="A164" s="8"/>
      <c r="B164" s="39"/>
      <c r="C164" s="40"/>
      <c r="D164" s="40"/>
      <c r="E164" s="40"/>
      <c r="F164" s="4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 customHeight="1" x14ac:dyDescent="0.25">
      <c r="A165" s="8"/>
      <c r="B165" s="39"/>
      <c r="C165" s="40"/>
      <c r="D165" s="40"/>
      <c r="E165" s="40"/>
      <c r="F165" s="4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 customHeight="1" x14ac:dyDescent="0.25">
      <c r="A166" s="8"/>
      <c r="B166" s="39"/>
      <c r="C166" s="40"/>
      <c r="D166" s="40"/>
      <c r="E166" s="40"/>
      <c r="F166" s="4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 customHeight="1" x14ac:dyDescent="0.25">
      <c r="A167" s="8"/>
      <c r="B167" s="39"/>
      <c r="C167" s="40"/>
      <c r="D167" s="40"/>
      <c r="E167" s="40"/>
      <c r="F167" s="4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 customHeight="1" x14ac:dyDescent="0.25">
      <c r="A168" s="8"/>
      <c r="B168" s="39"/>
      <c r="C168" s="40"/>
      <c r="D168" s="40"/>
      <c r="E168" s="40"/>
      <c r="F168" s="4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 customHeight="1" x14ac:dyDescent="0.25">
      <c r="A169" s="8"/>
      <c r="B169" s="39"/>
      <c r="C169" s="40"/>
      <c r="D169" s="40"/>
      <c r="E169" s="40"/>
      <c r="F169" s="4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 customHeight="1" x14ac:dyDescent="0.25">
      <c r="A170" s="8"/>
      <c r="B170" s="39"/>
      <c r="C170" s="40"/>
      <c r="D170" s="40"/>
      <c r="E170" s="40"/>
      <c r="F170" s="4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 customHeight="1" x14ac:dyDescent="0.25">
      <c r="A171" s="8"/>
      <c r="B171" s="39"/>
      <c r="C171" s="40"/>
      <c r="D171" s="40"/>
      <c r="E171" s="40"/>
      <c r="F171" s="4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 customHeight="1" x14ac:dyDescent="0.25">
      <c r="A172" s="8"/>
      <c r="B172" s="39"/>
      <c r="C172" s="40"/>
      <c r="D172" s="40"/>
      <c r="E172" s="40"/>
      <c r="F172" s="4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 customHeight="1" x14ac:dyDescent="0.25">
      <c r="A173" s="8"/>
      <c r="B173" s="39"/>
      <c r="C173" s="40"/>
      <c r="D173" s="40"/>
      <c r="E173" s="40"/>
      <c r="F173" s="4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 customHeight="1" x14ac:dyDescent="0.25">
      <c r="A174" s="8"/>
      <c r="B174" s="39"/>
      <c r="C174" s="40"/>
      <c r="D174" s="40"/>
      <c r="E174" s="40"/>
      <c r="F174" s="4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 customHeight="1" x14ac:dyDescent="0.25">
      <c r="A175" s="8"/>
      <c r="B175" s="39"/>
      <c r="C175" s="40"/>
      <c r="D175" s="40"/>
      <c r="E175" s="40"/>
      <c r="F175" s="4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 customHeight="1" x14ac:dyDescent="0.25">
      <c r="A176" s="8"/>
      <c r="B176" s="39"/>
      <c r="C176" s="40"/>
      <c r="D176" s="40"/>
      <c r="E176" s="40"/>
      <c r="F176" s="4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 customHeight="1" x14ac:dyDescent="0.25">
      <c r="A177" s="8"/>
      <c r="B177" s="39"/>
      <c r="C177" s="40"/>
      <c r="D177" s="40"/>
      <c r="E177" s="40"/>
      <c r="F177" s="4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 customHeight="1" x14ac:dyDescent="0.25">
      <c r="A178" s="8"/>
      <c r="B178" s="39"/>
      <c r="C178" s="40"/>
      <c r="D178" s="40"/>
      <c r="E178" s="40"/>
      <c r="F178" s="4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 customHeight="1" x14ac:dyDescent="0.25">
      <c r="A179" s="8"/>
      <c r="B179" s="39"/>
      <c r="C179" s="40"/>
      <c r="D179" s="40"/>
      <c r="E179" s="40"/>
      <c r="F179" s="4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 customHeight="1" x14ac:dyDescent="0.25">
      <c r="A180" s="8"/>
      <c r="B180" s="39"/>
      <c r="C180" s="40"/>
      <c r="D180" s="40"/>
      <c r="E180" s="40"/>
      <c r="F180" s="4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 customHeight="1" x14ac:dyDescent="0.25">
      <c r="A181" s="8"/>
      <c r="B181" s="39"/>
      <c r="C181" s="40"/>
      <c r="D181" s="40"/>
      <c r="E181" s="40"/>
      <c r="F181" s="4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 customHeight="1" x14ac:dyDescent="0.25">
      <c r="A182" s="8"/>
      <c r="B182" s="39"/>
      <c r="C182" s="40"/>
      <c r="D182" s="40"/>
      <c r="E182" s="40"/>
      <c r="F182" s="4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 customHeight="1" x14ac:dyDescent="0.25">
      <c r="A183" s="8"/>
      <c r="B183" s="39"/>
      <c r="C183" s="40"/>
      <c r="D183" s="40"/>
      <c r="E183" s="40"/>
      <c r="F183" s="4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 customHeight="1" x14ac:dyDescent="0.25">
      <c r="A184" s="8"/>
      <c r="B184" s="39"/>
      <c r="C184" s="40"/>
      <c r="D184" s="40"/>
      <c r="E184" s="40"/>
      <c r="F184" s="4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 customHeight="1" x14ac:dyDescent="0.25">
      <c r="A185" s="8"/>
      <c r="B185" s="39"/>
      <c r="C185" s="40"/>
      <c r="D185" s="40"/>
      <c r="E185" s="40"/>
      <c r="F185" s="4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 customHeight="1" x14ac:dyDescent="0.25">
      <c r="A186" s="8"/>
      <c r="B186" s="39"/>
      <c r="C186" s="40"/>
      <c r="D186" s="40"/>
      <c r="E186" s="40"/>
      <c r="F186" s="4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 customHeight="1" x14ac:dyDescent="0.25">
      <c r="A187" s="8"/>
      <c r="B187" s="39"/>
      <c r="C187" s="40"/>
      <c r="D187" s="40"/>
      <c r="E187" s="40"/>
      <c r="F187" s="4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 customHeight="1" x14ac:dyDescent="0.25">
      <c r="A188" s="8"/>
      <c r="B188" s="39"/>
      <c r="C188" s="40"/>
      <c r="D188" s="40"/>
      <c r="E188" s="40"/>
      <c r="F188" s="4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 customHeight="1" x14ac:dyDescent="0.25">
      <c r="A189" s="8"/>
      <c r="B189" s="39"/>
      <c r="C189" s="40"/>
      <c r="D189" s="40"/>
      <c r="E189" s="40"/>
      <c r="F189" s="4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 customHeight="1" x14ac:dyDescent="0.25">
      <c r="A190" s="8"/>
      <c r="B190" s="39"/>
      <c r="C190" s="40"/>
      <c r="D190" s="40"/>
      <c r="E190" s="40"/>
      <c r="F190" s="4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 customHeight="1" x14ac:dyDescent="0.25">
      <c r="A191" s="8"/>
      <c r="B191" s="39"/>
      <c r="C191" s="40"/>
      <c r="D191" s="40"/>
      <c r="E191" s="40"/>
      <c r="F191" s="4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 customHeight="1" x14ac:dyDescent="0.25">
      <c r="A192" s="8"/>
      <c r="B192" s="39"/>
      <c r="C192" s="40"/>
      <c r="D192" s="40"/>
      <c r="E192" s="40"/>
      <c r="F192" s="4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 customHeight="1" x14ac:dyDescent="0.25">
      <c r="A193" s="8"/>
      <c r="B193" s="39"/>
      <c r="C193" s="40"/>
      <c r="D193" s="40"/>
      <c r="E193" s="40"/>
      <c r="F193" s="4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 customHeight="1" x14ac:dyDescent="0.25">
      <c r="A194" s="8"/>
      <c r="B194" s="39"/>
      <c r="C194" s="40"/>
      <c r="D194" s="40"/>
      <c r="E194" s="40"/>
      <c r="F194" s="4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 customHeight="1" x14ac:dyDescent="0.25">
      <c r="A195" s="8"/>
      <c r="B195" s="39"/>
      <c r="C195" s="40"/>
      <c r="D195" s="40"/>
      <c r="E195" s="40"/>
      <c r="F195" s="4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 customHeight="1" x14ac:dyDescent="0.25">
      <c r="A196" s="8"/>
      <c r="B196" s="39"/>
      <c r="C196" s="40"/>
      <c r="D196" s="40"/>
      <c r="E196" s="40"/>
      <c r="F196" s="4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 customHeight="1" x14ac:dyDescent="0.25">
      <c r="A197" s="8"/>
      <c r="B197" s="39"/>
      <c r="C197" s="40"/>
      <c r="D197" s="40"/>
      <c r="E197" s="40"/>
      <c r="F197" s="4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 customHeight="1" x14ac:dyDescent="0.25">
      <c r="A198" s="8"/>
      <c r="B198" s="39"/>
      <c r="C198" s="40"/>
      <c r="D198" s="40"/>
      <c r="E198" s="40"/>
      <c r="F198" s="4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 customHeight="1" x14ac:dyDescent="0.25">
      <c r="A199" s="8"/>
      <c r="B199" s="39"/>
      <c r="C199" s="40"/>
      <c r="D199" s="40"/>
      <c r="E199" s="40"/>
      <c r="F199" s="4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 customHeight="1" x14ac:dyDescent="0.25">
      <c r="A200" s="8"/>
      <c r="B200" s="39"/>
      <c r="C200" s="40"/>
      <c r="D200" s="40"/>
      <c r="E200" s="40"/>
      <c r="F200" s="4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 customHeight="1" x14ac:dyDescent="0.25">
      <c r="A201" s="8"/>
      <c r="B201" s="39"/>
      <c r="C201" s="40"/>
      <c r="D201" s="40"/>
      <c r="E201" s="40"/>
      <c r="F201" s="4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 customHeight="1" x14ac:dyDescent="0.25">
      <c r="A202" s="8"/>
      <c r="B202" s="39"/>
      <c r="C202" s="40"/>
      <c r="D202" s="40"/>
      <c r="E202" s="40"/>
      <c r="F202" s="4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 customHeight="1" x14ac:dyDescent="0.25">
      <c r="A203" s="8"/>
      <c r="B203" s="39"/>
      <c r="C203" s="40"/>
      <c r="D203" s="40"/>
      <c r="E203" s="40"/>
      <c r="F203" s="4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 customHeight="1" x14ac:dyDescent="0.25">
      <c r="A204" s="8"/>
      <c r="B204" s="39"/>
      <c r="C204" s="40"/>
      <c r="D204" s="40"/>
      <c r="E204" s="40"/>
      <c r="F204" s="4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 customHeight="1" x14ac:dyDescent="0.25">
      <c r="A205" s="8"/>
      <c r="B205" s="39"/>
      <c r="C205" s="40"/>
      <c r="D205" s="40"/>
      <c r="E205" s="40"/>
      <c r="F205" s="4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 customHeight="1" x14ac:dyDescent="0.25">
      <c r="A206" s="8"/>
      <c r="B206" s="39"/>
      <c r="C206" s="40"/>
      <c r="D206" s="40"/>
      <c r="E206" s="40"/>
      <c r="F206" s="4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 customHeight="1" x14ac:dyDescent="0.25">
      <c r="A207" s="8"/>
      <c r="B207" s="39"/>
      <c r="C207" s="40"/>
      <c r="D207" s="40"/>
      <c r="E207" s="40"/>
      <c r="F207" s="4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 customHeight="1" x14ac:dyDescent="0.25">
      <c r="A208" s="8"/>
      <c r="B208" s="39"/>
      <c r="C208" s="40"/>
      <c r="D208" s="40"/>
      <c r="E208" s="40"/>
      <c r="F208" s="4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 customHeight="1" x14ac:dyDescent="0.25">
      <c r="A209" s="8"/>
      <c r="B209" s="39"/>
      <c r="C209" s="40"/>
      <c r="D209" s="40"/>
      <c r="E209" s="40"/>
      <c r="F209" s="4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 customHeight="1" x14ac:dyDescent="0.25">
      <c r="A210" s="8"/>
      <c r="B210" s="39"/>
      <c r="C210" s="40"/>
      <c r="D210" s="40"/>
      <c r="E210" s="40"/>
      <c r="F210" s="4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 customHeight="1" x14ac:dyDescent="0.25">
      <c r="A211" s="8"/>
      <c r="B211" s="39"/>
      <c r="C211" s="40"/>
      <c r="D211" s="40"/>
      <c r="E211" s="40"/>
      <c r="F211" s="4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 customHeight="1" x14ac:dyDescent="0.25">
      <c r="A212" s="8"/>
      <c r="B212" s="39"/>
      <c r="C212" s="40"/>
      <c r="D212" s="40"/>
      <c r="E212" s="40"/>
      <c r="F212" s="4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 customHeight="1" x14ac:dyDescent="0.25">
      <c r="A213" s="8"/>
      <c r="B213" s="39"/>
      <c r="C213" s="40"/>
      <c r="D213" s="40"/>
      <c r="E213" s="40"/>
      <c r="F213" s="4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 customHeight="1" x14ac:dyDescent="0.25">
      <c r="A214" s="8"/>
      <c r="B214" s="39"/>
      <c r="C214" s="40"/>
      <c r="D214" s="40"/>
      <c r="E214" s="40"/>
      <c r="F214" s="4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 customHeight="1" x14ac:dyDescent="0.25">
      <c r="A215" s="8"/>
      <c r="B215" s="39"/>
      <c r="C215" s="40"/>
      <c r="D215" s="40"/>
      <c r="E215" s="40"/>
      <c r="F215" s="4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 customHeight="1" x14ac:dyDescent="0.25">
      <c r="A216" s="8"/>
      <c r="B216" s="39"/>
      <c r="C216" s="40"/>
      <c r="D216" s="40"/>
      <c r="E216" s="40"/>
      <c r="F216" s="4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 customHeight="1" x14ac:dyDescent="0.25">
      <c r="A217" s="8"/>
      <c r="B217" s="39"/>
      <c r="C217" s="40"/>
      <c r="D217" s="40"/>
      <c r="E217" s="40"/>
      <c r="F217" s="4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/>
    <row r="219" spans="1:26" ht="12.75" x14ac:dyDescent="0.2"/>
    <row r="220" spans="1:26" ht="12.75" x14ac:dyDescent="0.2"/>
    <row r="221" spans="1:26" ht="12.75" x14ac:dyDescent="0.2"/>
    <row r="222" spans="1:26" ht="12.75" x14ac:dyDescent="0.2"/>
    <row r="223" spans="1:26" ht="12.75" x14ac:dyDescent="0.2"/>
    <row r="224" spans="1:26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</sheetData>
  <mergeCells count="6">
    <mergeCell ref="B3:C3"/>
    <mergeCell ref="D3:F3"/>
    <mergeCell ref="B4:C4"/>
    <mergeCell ref="D4:F4"/>
    <mergeCell ref="B5:C5"/>
    <mergeCell ref="D5:F5"/>
  </mergeCells>
  <hyperlinks>
    <hyperlink ref="D10" location="'Layout Hỗ trợ &amp; khuyến mãi'!A1" display="Layout Hỗ trợ &amp; khuyến mãi" xr:uid="{00000000-0004-0000-0100-000004000000}"/>
    <hyperlink ref="D9" location="'Hỗ trợ &amp; khuyến mãi'!A1" display="Hỗ trợ &amp; khuyến mãi" xr:uid="{D141A2A9-D3FF-4D56-A242-095A8A86114D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15"/>
  <sheetViews>
    <sheetView tabSelected="1" zoomScaleNormal="100" workbookViewId="0">
      <pane ySplit="8" topLeftCell="A9" activePane="bottomLeft" state="frozen"/>
      <selection pane="bottomLeft" activeCell="C32" sqref="C32"/>
    </sheetView>
  </sheetViews>
  <sheetFormatPr defaultColWidth="12.7109375" defaultRowHeight="15.75" customHeight="1" x14ac:dyDescent="0.2"/>
  <cols>
    <col min="1" max="1" width="18.140625" customWidth="1"/>
    <col min="2" max="2" width="27.140625" customWidth="1"/>
    <col min="3" max="3" width="43.7109375" customWidth="1"/>
    <col min="4" max="4" width="38.42578125" customWidth="1"/>
    <col min="5" max="5" width="15.140625" customWidth="1"/>
    <col min="6" max="6" width="7.140625" customWidth="1"/>
    <col min="7" max="7" width="10.28515625" customWidth="1"/>
    <col min="8" max="8" width="17.7109375" customWidth="1"/>
    <col min="9" max="9" width="15.140625" customWidth="1"/>
    <col min="10" max="19" width="9" customWidth="1"/>
    <col min="20" max="25" width="8" customWidth="1"/>
    <col min="26" max="26" width="15.140625" customWidth="1"/>
  </cols>
  <sheetData>
    <row r="1" spans="1:26" ht="17.25" customHeight="1" x14ac:dyDescent="0.25">
      <c r="A1" s="57"/>
      <c r="B1" s="58"/>
      <c r="C1" s="58"/>
      <c r="D1" s="58"/>
      <c r="E1" s="58"/>
      <c r="F1" s="59"/>
      <c r="G1" s="60"/>
      <c r="H1" s="61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6" ht="15" customHeight="1" x14ac:dyDescent="0.25">
      <c r="A2" s="63" t="s">
        <v>34</v>
      </c>
      <c r="B2" s="150" t="s">
        <v>64</v>
      </c>
      <c r="C2" s="131"/>
      <c r="D2" s="131"/>
      <c r="E2" s="131"/>
      <c r="F2" s="151"/>
      <c r="G2" s="43"/>
      <c r="H2" s="61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6" ht="68.25" customHeight="1" x14ac:dyDescent="0.25">
      <c r="A3" s="64" t="s">
        <v>35</v>
      </c>
      <c r="B3" s="152" t="s">
        <v>88</v>
      </c>
      <c r="C3" s="131"/>
      <c r="D3" s="131"/>
      <c r="E3" s="131"/>
      <c r="F3" s="151"/>
      <c r="G3" s="43"/>
      <c r="H3" s="61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6" ht="18" customHeight="1" x14ac:dyDescent="0.25">
      <c r="A4" s="63" t="s">
        <v>36</v>
      </c>
      <c r="B4" s="153" t="s">
        <v>87</v>
      </c>
      <c r="C4" s="154"/>
      <c r="D4" s="154"/>
      <c r="E4" s="154"/>
      <c r="F4" s="155"/>
      <c r="G4" s="43"/>
      <c r="H4" s="61"/>
      <c r="I4" s="65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 spans="1:26" ht="19.5" customHeight="1" x14ac:dyDescent="0.25">
      <c r="A5" s="66" t="s">
        <v>38</v>
      </c>
      <c r="B5" s="67" t="s">
        <v>39</v>
      </c>
      <c r="C5" s="67" t="s">
        <v>40</v>
      </c>
      <c r="D5" s="68" t="s">
        <v>41</v>
      </c>
      <c r="E5" s="156" t="s">
        <v>42</v>
      </c>
      <c r="F5" s="151"/>
      <c r="G5" s="69"/>
      <c r="H5" s="70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 spans="1:26" ht="15" customHeight="1" x14ac:dyDescent="0.25">
      <c r="A6" s="71">
        <f>COUNTIF(F11:F1031,"Pass")</f>
        <v>0</v>
      </c>
      <c r="B6" s="72">
        <f>COUNTIF(F11:F1031,"Fail")</f>
        <v>0</v>
      </c>
      <c r="C6" s="72">
        <f>E6-D6-B6-A6</f>
        <v>6</v>
      </c>
      <c r="D6" s="73">
        <f>COUNTIF(F$11:F$1031,"N/A")</f>
        <v>0</v>
      </c>
      <c r="E6" s="157">
        <f>COUNTA(A11:A1031)</f>
        <v>6</v>
      </c>
      <c r="F6" s="158"/>
      <c r="G6" s="69"/>
      <c r="H6" s="70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 spans="1:26" ht="15" customHeight="1" x14ac:dyDescent="0.25">
      <c r="A7" s="74"/>
      <c r="B7" s="62"/>
      <c r="C7" s="62"/>
      <c r="D7" s="75"/>
      <c r="E7" s="75"/>
      <c r="F7" s="76"/>
      <c r="G7" s="69"/>
      <c r="H7" s="7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 spans="1:26" ht="25.5" customHeight="1" x14ac:dyDescent="0.25">
      <c r="A8" s="77" t="s">
        <v>43</v>
      </c>
      <c r="B8" s="78" t="s">
        <v>44</v>
      </c>
      <c r="C8" s="78" t="s">
        <v>45</v>
      </c>
      <c r="D8" s="78" t="s">
        <v>46</v>
      </c>
      <c r="E8" s="79" t="s">
        <v>47</v>
      </c>
      <c r="F8" s="80" t="s">
        <v>48</v>
      </c>
      <c r="G8" s="79" t="s">
        <v>49</v>
      </c>
      <c r="H8" s="81" t="s">
        <v>50</v>
      </c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 spans="1:26" ht="15.75" customHeight="1" x14ac:dyDescent="0.25">
      <c r="A9" s="82"/>
      <c r="B9" s="83" t="s">
        <v>68</v>
      </c>
      <c r="C9" s="84"/>
      <c r="D9" s="85"/>
      <c r="E9" s="84"/>
      <c r="F9" s="84"/>
      <c r="G9" s="84"/>
      <c r="H9" s="86"/>
      <c r="I9" s="8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15.75" customHeight="1" x14ac:dyDescent="0.25">
      <c r="A10" s="82"/>
      <c r="B10" s="83" t="s">
        <v>69</v>
      </c>
      <c r="C10" s="84"/>
      <c r="D10" s="85"/>
      <c r="E10" s="84"/>
      <c r="F10" s="84"/>
      <c r="G10" s="84"/>
      <c r="H10" s="87"/>
      <c r="I10" s="8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ht="33" x14ac:dyDescent="0.25">
      <c r="A11" s="88" t="s">
        <v>78</v>
      </c>
      <c r="B11" s="89" t="s">
        <v>51</v>
      </c>
      <c r="C11" s="90" t="s">
        <v>70</v>
      </c>
      <c r="D11" s="91" t="s">
        <v>71</v>
      </c>
      <c r="E11" s="92"/>
      <c r="F11" s="90"/>
      <c r="G11" s="90"/>
      <c r="H11" s="93"/>
      <c r="I11" s="8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33.6" customHeight="1" x14ac:dyDescent="0.25">
      <c r="A12" s="148" t="s">
        <v>79</v>
      </c>
      <c r="B12" s="148" t="s">
        <v>51</v>
      </c>
      <c r="C12" s="90" t="s">
        <v>72</v>
      </c>
      <c r="D12" s="95"/>
      <c r="E12" s="95"/>
      <c r="F12" s="90"/>
      <c r="G12" s="90"/>
      <c r="H12" s="93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x14ac:dyDescent="0.25">
      <c r="A13" s="149"/>
      <c r="B13" s="149"/>
      <c r="C13" s="90" t="s">
        <v>73</v>
      </c>
      <c r="D13" s="95"/>
      <c r="E13" s="95"/>
      <c r="F13" s="90"/>
      <c r="G13" s="90"/>
      <c r="H13" s="93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.5" x14ac:dyDescent="0.25">
      <c r="A14" s="88" t="s">
        <v>80</v>
      </c>
      <c r="B14" s="89" t="s">
        <v>51</v>
      </c>
      <c r="C14" s="90" t="s">
        <v>74</v>
      </c>
      <c r="D14" s="91"/>
      <c r="E14" s="92"/>
      <c r="F14" s="90"/>
      <c r="G14" s="90"/>
      <c r="H14" s="93"/>
      <c r="I14" s="8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16.5" x14ac:dyDescent="0.25">
      <c r="A15" s="88" t="s">
        <v>81</v>
      </c>
      <c r="B15" s="89" t="s">
        <v>51</v>
      </c>
      <c r="C15" s="90" t="s">
        <v>75</v>
      </c>
      <c r="D15" s="91"/>
      <c r="E15" s="92"/>
      <c r="F15" s="90"/>
      <c r="G15" s="90"/>
      <c r="H15" s="93"/>
      <c r="I15" s="8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6.5" x14ac:dyDescent="0.25">
      <c r="A16" s="88" t="s">
        <v>82</v>
      </c>
      <c r="B16" s="89" t="s">
        <v>76</v>
      </c>
      <c r="C16" s="90" t="s">
        <v>77</v>
      </c>
      <c r="D16" s="91"/>
      <c r="E16" s="92"/>
      <c r="F16" s="90"/>
      <c r="G16" s="90"/>
      <c r="H16" s="93"/>
      <c r="I16" s="8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6.5" x14ac:dyDescent="0.25">
      <c r="A17" s="96"/>
      <c r="B17" s="83" t="s">
        <v>61</v>
      </c>
      <c r="C17" s="84"/>
      <c r="D17" s="85"/>
      <c r="E17" s="84"/>
      <c r="F17" s="84"/>
      <c r="G17" s="84"/>
      <c r="H17" s="8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33" x14ac:dyDescent="0.25">
      <c r="A18" s="91" t="s">
        <v>83</v>
      </c>
      <c r="B18" s="90" t="s">
        <v>84</v>
      </c>
      <c r="C18" s="56" t="s">
        <v>85</v>
      </c>
      <c r="D18" s="129"/>
      <c r="E18" s="90"/>
      <c r="F18" s="90"/>
      <c r="G18" s="90"/>
      <c r="H18" s="93"/>
      <c r="I18" s="8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6.5" customHeight="1" x14ac:dyDescent="0.25">
      <c r="A19" s="97"/>
      <c r="B19" s="62"/>
      <c r="C19" s="62"/>
      <c r="D19" s="98"/>
      <c r="E19" s="62"/>
      <c r="F19" s="62"/>
      <c r="G19" s="62"/>
      <c r="H19" s="99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 spans="1:26" ht="16.5" customHeight="1" x14ac:dyDescent="0.25">
      <c r="A20" s="97"/>
      <c r="B20" s="62"/>
      <c r="C20" s="62"/>
      <c r="D20" s="98"/>
      <c r="E20" s="62"/>
      <c r="F20" s="62"/>
      <c r="G20" s="62"/>
      <c r="H20" s="99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 spans="1:26" ht="16.5" customHeight="1" x14ac:dyDescent="0.25">
      <c r="A21" s="97"/>
      <c r="B21" s="62"/>
      <c r="C21" s="62"/>
      <c r="D21" s="98"/>
      <c r="E21" s="62"/>
      <c r="F21" s="62"/>
      <c r="G21" s="62"/>
      <c r="H21" s="99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 spans="1:26" ht="16.5" customHeight="1" x14ac:dyDescent="0.25">
      <c r="A22" s="97"/>
      <c r="B22" s="62"/>
      <c r="C22" s="62"/>
      <c r="D22" s="98"/>
      <c r="E22" s="62"/>
      <c r="F22" s="62"/>
      <c r="G22" s="62"/>
      <c r="H22" s="99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spans="1:26" ht="16.5" customHeight="1" x14ac:dyDescent="0.25">
      <c r="A23" s="97"/>
      <c r="B23" s="62"/>
      <c r="C23" s="62"/>
      <c r="D23" s="98"/>
      <c r="E23" s="62"/>
      <c r="F23" s="62"/>
      <c r="G23" s="62"/>
      <c r="H23" s="99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 spans="1:26" ht="16.5" customHeight="1" x14ac:dyDescent="0.25">
      <c r="A24" s="97"/>
      <c r="B24" s="62"/>
      <c r="C24" s="62"/>
      <c r="D24" s="98"/>
      <c r="E24" s="62"/>
      <c r="F24" s="62"/>
      <c r="G24" s="62"/>
      <c r="H24" s="99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spans="1:26" ht="16.5" customHeight="1" x14ac:dyDescent="0.25">
      <c r="A25" s="97"/>
      <c r="B25" s="62"/>
      <c r="C25" s="62"/>
      <c r="D25" s="98"/>
      <c r="E25" s="62"/>
      <c r="F25" s="62"/>
      <c r="G25" s="62"/>
      <c r="H25" s="99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 spans="1:26" ht="33" customHeight="1" x14ac:dyDescent="0.25">
      <c r="A26" s="97"/>
      <c r="B26" s="62"/>
      <c r="C26" s="62"/>
      <c r="D26" s="98"/>
      <c r="E26" s="62"/>
      <c r="F26" s="62"/>
      <c r="G26" s="62"/>
      <c r="H26" s="99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 spans="1:26" ht="33" customHeight="1" x14ac:dyDescent="0.25">
      <c r="A27" s="97"/>
      <c r="B27" s="62"/>
      <c r="C27" s="62"/>
      <c r="D27" s="98"/>
      <c r="E27" s="62"/>
      <c r="F27" s="62"/>
      <c r="G27" s="62"/>
      <c r="H27" s="99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 spans="1:26" ht="16.5" customHeight="1" x14ac:dyDescent="0.25">
      <c r="A28" s="97"/>
      <c r="B28" s="62"/>
      <c r="C28" s="62"/>
      <c r="D28" s="98"/>
      <c r="E28" s="62"/>
      <c r="F28" s="62"/>
      <c r="G28" s="62"/>
      <c r="H28" s="99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 spans="1:26" ht="16.5" customHeight="1" x14ac:dyDescent="0.25">
      <c r="A29" s="97"/>
      <c r="B29" s="62"/>
      <c r="C29" s="62"/>
      <c r="D29" s="98"/>
      <c r="E29" s="62"/>
      <c r="F29" s="62"/>
      <c r="G29" s="62"/>
      <c r="H29" s="99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 spans="1:26" ht="16.5" customHeight="1" x14ac:dyDescent="0.25">
      <c r="A30" s="97"/>
      <c r="B30" s="62"/>
      <c r="C30" s="62"/>
      <c r="D30" s="98"/>
      <c r="E30" s="62"/>
      <c r="F30" s="62"/>
      <c r="G30" s="62"/>
      <c r="H30" s="99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spans="1:26" ht="16.5" customHeight="1" x14ac:dyDescent="0.25">
      <c r="A31" s="97"/>
      <c r="B31" s="62"/>
      <c r="C31" s="62"/>
      <c r="D31" s="98"/>
      <c r="E31" s="62"/>
      <c r="F31" s="62"/>
      <c r="G31" s="62"/>
      <c r="H31" s="99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 spans="1:26" ht="16.5" customHeight="1" x14ac:dyDescent="0.25">
      <c r="A32" s="97"/>
      <c r="B32" s="62"/>
      <c r="C32" s="62"/>
      <c r="D32" s="98"/>
      <c r="E32" s="62"/>
      <c r="F32" s="62"/>
      <c r="G32" s="62"/>
      <c r="H32" s="99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 spans="1:25" ht="16.5" customHeight="1" x14ac:dyDescent="0.25">
      <c r="A33" s="97"/>
      <c r="B33" s="62"/>
      <c r="C33" s="62"/>
      <c r="D33" s="98"/>
      <c r="E33" s="62"/>
      <c r="F33" s="62"/>
      <c r="G33" s="62"/>
      <c r="H33" s="99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 spans="1:25" ht="16.5" customHeight="1" x14ac:dyDescent="0.25">
      <c r="A34" s="97"/>
      <c r="B34" s="62"/>
      <c r="C34" s="62"/>
      <c r="D34" s="98"/>
      <c r="E34" s="62"/>
      <c r="F34" s="62"/>
      <c r="G34" s="62"/>
      <c r="H34" s="99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</row>
    <row r="35" spans="1:25" ht="16.5" customHeight="1" x14ac:dyDescent="0.25">
      <c r="A35" s="97"/>
      <c r="B35" s="62"/>
      <c r="C35" s="62"/>
      <c r="D35" s="98"/>
      <c r="E35" s="62"/>
      <c r="F35" s="62"/>
      <c r="G35" s="62"/>
      <c r="H35" s="99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</row>
    <row r="36" spans="1:25" ht="16.5" customHeight="1" x14ac:dyDescent="0.25">
      <c r="A36" s="97"/>
      <c r="B36" s="62"/>
      <c r="C36" s="62"/>
      <c r="D36" s="98"/>
      <c r="E36" s="62"/>
      <c r="F36" s="62"/>
      <c r="G36" s="62"/>
      <c r="H36" s="99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</row>
    <row r="37" spans="1:25" ht="16.5" customHeight="1" x14ac:dyDescent="0.25">
      <c r="A37" s="97"/>
      <c r="B37" s="62"/>
      <c r="C37" s="62"/>
      <c r="D37" s="98"/>
      <c r="E37" s="62"/>
      <c r="F37" s="62"/>
      <c r="G37" s="62"/>
      <c r="H37" s="99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</row>
    <row r="38" spans="1:25" ht="16.5" customHeight="1" x14ac:dyDescent="0.25">
      <c r="A38" s="97"/>
      <c r="B38" s="62"/>
      <c r="C38" s="62"/>
      <c r="D38" s="98"/>
      <c r="E38" s="62"/>
      <c r="F38" s="62"/>
      <c r="G38" s="62"/>
      <c r="H38" s="99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</row>
    <row r="39" spans="1:25" ht="16.5" customHeight="1" x14ac:dyDescent="0.25">
      <c r="A39" s="97"/>
      <c r="B39" s="62"/>
      <c r="C39" s="62"/>
      <c r="D39" s="98"/>
      <c r="E39" s="62"/>
      <c r="F39" s="62"/>
      <c r="G39" s="62"/>
      <c r="H39" s="99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</row>
    <row r="40" spans="1:25" ht="16.5" customHeight="1" x14ac:dyDescent="0.25">
      <c r="A40" s="97"/>
      <c r="B40" s="62"/>
      <c r="C40" s="62"/>
      <c r="D40" s="98"/>
      <c r="E40" s="62"/>
      <c r="F40" s="62"/>
      <c r="G40" s="62"/>
      <c r="H40" s="99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</row>
    <row r="41" spans="1:25" ht="16.5" customHeight="1" x14ac:dyDescent="0.25">
      <c r="A41" s="97"/>
      <c r="B41" s="62"/>
      <c r="C41" s="62"/>
      <c r="D41" s="98"/>
      <c r="E41" s="62"/>
      <c r="F41" s="62"/>
      <c r="G41" s="62"/>
      <c r="H41" s="99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</row>
    <row r="42" spans="1:25" ht="16.5" customHeight="1" x14ac:dyDescent="0.25">
      <c r="A42" s="97"/>
      <c r="B42" s="62"/>
      <c r="C42" s="62"/>
      <c r="D42" s="98"/>
      <c r="E42" s="62"/>
      <c r="F42" s="62"/>
      <c r="G42" s="62"/>
      <c r="H42" s="99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 spans="1:25" ht="16.5" customHeight="1" x14ac:dyDescent="0.25">
      <c r="A43" s="97"/>
      <c r="B43" s="62"/>
      <c r="C43" s="62"/>
      <c r="D43" s="98"/>
      <c r="E43" s="62"/>
      <c r="F43" s="62"/>
      <c r="G43" s="62"/>
      <c r="H43" s="99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 spans="1:25" ht="16.5" customHeight="1" x14ac:dyDescent="0.25">
      <c r="A44" s="97"/>
      <c r="B44" s="62"/>
      <c r="C44" s="62"/>
      <c r="D44" s="98"/>
      <c r="E44" s="62"/>
      <c r="F44" s="62"/>
      <c r="G44" s="62"/>
      <c r="H44" s="99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spans="1:25" ht="16.5" customHeight="1" x14ac:dyDescent="0.25">
      <c r="A45" s="97"/>
      <c r="B45" s="62"/>
      <c r="C45" s="62"/>
      <c r="D45" s="98"/>
      <c r="E45" s="62"/>
      <c r="F45" s="62"/>
      <c r="G45" s="62"/>
      <c r="H45" s="99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 spans="1:25" ht="16.5" customHeight="1" x14ac:dyDescent="0.25">
      <c r="A46" s="62"/>
      <c r="B46" s="62"/>
      <c r="C46" s="62"/>
      <c r="D46" s="98"/>
      <c r="E46" s="62"/>
      <c r="F46" s="62"/>
      <c r="G46" s="62"/>
      <c r="H46" s="99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 spans="1:25" ht="16.5" customHeight="1" x14ac:dyDescent="0.25">
      <c r="A47" s="62"/>
      <c r="B47" s="62"/>
      <c r="C47" s="62"/>
      <c r="D47" s="98"/>
      <c r="E47" s="62"/>
      <c r="F47" s="62"/>
      <c r="G47" s="62"/>
      <c r="H47" s="99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 spans="1:25" ht="16.5" customHeight="1" x14ac:dyDescent="0.25">
      <c r="A48" s="62"/>
      <c r="B48" s="100"/>
      <c r="C48" s="8"/>
      <c r="D48" s="43"/>
      <c r="E48" s="8"/>
      <c r="F48" s="8"/>
      <c r="G48" s="8"/>
      <c r="H48" s="99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 spans="1:25" ht="16.5" customHeight="1" x14ac:dyDescent="0.25">
      <c r="A49" s="62"/>
      <c r="B49" s="101"/>
      <c r="C49" s="101"/>
      <c r="D49" s="101"/>
      <c r="E49" s="101"/>
      <c r="F49" s="101"/>
      <c r="G49" s="101"/>
      <c r="H49" s="99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 spans="1:25" ht="16.5" customHeight="1" x14ac:dyDescent="0.25">
      <c r="A50" s="62"/>
      <c r="B50" s="101"/>
      <c r="C50" s="101"/>
      <c r="D50" s="101"/>
      <c r="E50" s="101"/>
      <c r="F50" s="101"/>
      <c r="G50" s="101"/>
      <c r="H50" s="99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 spans="1:25" ht="16.5" customHeight="1" x14ac:dyDescent="0.25">
      <c r="A51" s="102"/>
      <c r="B51" s="8"/>
      <c r="C51" s="8"/>
      <c r="D51" s="43"/>
      <c r="E51" s="8"/>
      <c r="F51" s="8"/>
      <c r="G51" s="8"/>
      <c r="H51" s="99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 spans="1:25" ht="16.5" customHeight="1" x14ac:dyDescent="0.25">
      <c r="A52" s="102"/>
      <c r="B52" s="8"/>
      <c r="C52" s="8"/>
      <c r="D52" s="43"/>
      <c r="E52" s="8"/>
      <c r="F52" s="8"/>
      <c r="G52" s="8"/>
      <c r="H52" s="99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 spans="1:25" ht="16.5" customHeight="1" x14ac:dyDescent="0.25">
      <c r="A53" s="102"/>
      <c r="B53" s="8"/>
      <c r="C53" s="8"/>
      <c r="D53" s="43"/>
      <c r="E53" s="8"/>
      <c r="F53" s="62"/>
      <c r="G53" s="8"/>
      <c r="H53" s="99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 spans="1:25" ht="16.5" customHeight="1" x14ac:dyDescent="0.25">
      <c r="A54" s="102"/>
      <c r="B54" s="8"/>
      <c r="C54" s="8"/>
      <c r="D54" s="43"/>
      <c r="E54" s="8"/>
      <c r="F54" s="62"/>
      <c r="G54" s="8"/>
      <c r="H54" s="99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 spans="1:25" ht="16.5" customHeight="1" x14ac:dyDescent="0.25">
      <c r="A55" s="102"/>
      <c r="B55" s="8"/>
      <c r="C55" s="8"/>
      <c r="D55" s="43"/>
      <c r="E55" s="8"/>
      <c r="F55" s="62"/>
      <c r="G55" s="8"/>
      <c r="H55" s="99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 spans="1:25" ht="16.5" customHeight="1" x14ac:dyDescent="0.25">
      <c r="A56" s="102"/>
      <c r="B56" s="8"/>
      <c r="C56" s="8"/>
      <c r="D56" s="43"/>
      <c r="E56" s="8"/>
      <c r="F56" s="62"/>
      <c r="G56" s="8"/>
      <c r="H56" s="99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 spans="1:25" ht="16.5" customHeight="1" x14ac:dyDescent="0.25">
      <c r="A57" s="102"/>
      <c r="B57" s="8"/>
      <c r="C57" s="8"/>
      <c r="D57" s="43"/>
      <c r="E57" s="8"/>
      <c r="F57" s="62"/>
      <c r="G57" s="8"/>
      <c r="H57" s="99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6.5" customHeight="1" x14ac:dyDescent="0.25">
      <c r="A58" s="102"/>
      <c r="B58" s="8"/>
      <c r="C58" s="8"/>
      <c r="D58" s="43"/>
      <c r="E58" s="8"/>
      <c r="F58" s="62"/>
      <c r="G58" s="8"/>
      <c r="H58" s="99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6.5" customHeight="1" x14ac:dyDescent="0.25">
      <c r="A59" s="102"/>
      <c r="B59" s="8"/>
      <c r="C59" s="8"/>
      <c r="D59" s="43"/>
      <c r="E59" s="8"/>
      <c r="F59" s="62"/>
      <c r="G59" s="8"/>
      <c r="H59" s="99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6.5" customHeight="1" x14ac:dyDescent="0.25">
      <c r="A60" s="102"/>
      <c r="B60" s="8"/>
      <c r="C60" s="8"/>
      <c r="D60" s="43"/>
      <c r="E60" s="8"/>
      <c r="F60" s="62"/>
      <c r="G60" s="8"/>
      <c r="H60" s="99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6.5" customHeight="1" x14ac:dyDescent="0.25">
      <c r="A61" s="102"/>
      <c r="B61" s="8"/>
      <c r="C61" s="8"/>
      <c r="D61" s="43"/>
      <c r="E61" s="8"/>
      <c r="F61" s="62"/>
      <c r="G61" s="8"/>
      <c r="H61" s="99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6.5" customHeight="1" x14ac:dyDescent="0.25">
      <c r="A62" s="102"/>
      <c r="B62" s="8"/>
      <c r="C62" s="8"/>
      <c r="D62" s="43"/>
      <c r="E62" s="8"/>
      <c r="F62" s="62"/>
      <c r="G62" s="8"/>
      <c r="H62" s="99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6.5" customHeight="1" x14ac:dyDescent="0.25">
      <c r="A63" s="102"/>
      <c r="B63" s="8"/>
      <c r="C63" s="8"/>
      <c r="D63" s="43"/>
      <c r="E63" s="8"/>
      <c r="F63" s="8"/>
      <c r="G63" s="8"/>
      <c r="H63" s="99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6.5" customHeight="1" x14ac:dyDescent="0.25">
      <c r="A64" s="102"/>
      <c r="B64" s="8"/>
      <c r="C64" s="8"/>
      <c r="D64" s="43"/>
      <c r="E64" s="8"/>
      <c r="F64" s="8"/>
      <c r="G64" s="8"/>
      <c r="H64" s="99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6.5" customHeight="1" x14ac:dyDescent="0.25">
      <c r="A65" s="102"/>
      <c r="B65" s="8"/>
      <c r="C65" s="8"/>
      <c r="D65" s="43"/>
      <c r="E65" s="8"/>
      <c r="F65" s="8"/>
      <c r="G65" s="8"/>
      <c r="H65" s="99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6.5" customHeight="1" x14ac:dyDescent="0.25">
      <c r="A66" s="102"/>
      <c r="B66" s="8"/>
      <c r="C66" s="8"/>
      <c r="D66" s="43"/>
      <c r="E66" s="8"/>
      <c r="F66" s="8"/>
      <c r="G66" s="8"/>
      <c r="H66" s="99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6.5" customHeight="1" x14ac:dyDescent="0.25">
      <c r="A67" s="102"/>
      <c r="B67" s="8"/>
      <c r="C67" s="8"/>
      <c r="D67" s="43"/>
      <c r="E67" s="8"/>
      <c r="F67" s="8"/>
      <c r="G67" s="8"/>
      <c r="H67" s="99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6.5" customHeight="1" x14ac:dyDescent="0.25">
      <c r="A68" s="102"/>
      <c r="B68" s="8"/>
      <c r="C68" s="8"/>
      <c r="D68" s="43"/>
      <c r="E68" s="8"/>
      <c r="F68" s="8"/>
      <c r="G68" s="8"/>
      <c r="H68" s="99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6.5" customHeight="1" x14ac:dyDescent="0.25">
      <c r="A69" s="102"/>
      <c r="B69" s="8"/>
      <c r="C69" s="8"/>
      <c r="D69" s="43"/>
      <c r="E69" s="8"/>
      <c r="F69" s="8"/>
      <c r="G69" s="8"/>
      <c r="H69" s="99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6.5" customHeight="1" x14ac:dyDescent="0.25">
      <c r="A70" s="102"/>
      <c r="B70" s="8"/>
      <c r="C70" s="8"/>
      <c r="D70" s="43"/>
      <c r="E70" s="8"/>
      <c r="F70" s="8"/>
      <c r="G70" s="8"/>
      <c r="H70" s="99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6.5" customHeight="1" x14ac:dyDescent="0.25">
      <c r="A71" s="102"/>
      <c r="B71" s="8"/>
      <c r="C71" s="8"/>
      <c r="D71" s="43"/>
      <c r="E71" s="8"/>
      <c r="F71" s="8"/>
      <c r="G71" s="8"/>
      <c r="H71" s="99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6.5" customHeight="1" x14ac:dyDescent="0.25">
      <c r="A72" s="102"/>
      <c r="B72" s="8"/>
      <c r="C72" s="8"/>
      <c r="D72" s="43"/>
      <c r="E72" s="8"/>
      <c r="F72" s="8"/>
      <c r="G72" s="8"/>
      <c r="H72" s="99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6.5" customHeight="1" x14ac:dyDescent="0.25">
      <c r="A73" s="102"/>
      <c r="B73" s="8"/>
      <c r="C73" s="8"/>
      <c r="D73" s="43"/>
      <c r="E73" s="8"/>
      <c r="F73" s="8"/>
      <c r="G73" s="8"/>
      <c r="H73" s="99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6.5" customHeight="1" x14ac:dyDescent="0.25">
      <c r="A74" s="102"/>
      <c r="B74" s="8"/>
      <c r="C74" s="8"/>
      <c r="D74" s="43"/>
      <c r="E74" s="8"/>
      <c r="F74" s="8"/>
      <c r="G74" s="8"/>
      <c r="H74" s="99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6.5" customHeight="1" x14ac:dyDescent="0.25">
      <c r="A75" s="102"/>
      <c r="B75" s="8"/>
      <c r="C75" s="8"/>
      <c r="D75" s="43"/>
      <c r="E75" s="8"/>
      <c r="F75" s="8"/>
      <c r="G75" s="8"/>
      <c r="H75" s="99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6.5" customHeight="1" x14ac:dyDescent="0.25">
      <c r="A76" s="102"/>
      <c r="B76" s="8"/>
      <c r="C76" s="8"/>
      <c r="D76" s="43"/>
      <c r="E76" s="8"/>
      <c r="F76" s="8"/>
      <c r="G76" s="8"/>
      <c r="H76" s="99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6.5" customHeight="1" x14ac:dyDescent="0.25">
      <c r="A77" s="102"/>
      <c r="B77" s="8"/>
      <c r="C77" s="8"/>
      <c r="D77" s="43"/>
      <c r="E77" s="8"/>
      <c r="F77" s="8"/>
      <c r="G77" s="8"/>
      <c r="H77" s="99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6.5" customHeight="1" x14ac:dyDescent="0.25">
      <c r="A78" s="102"/>
      <c r="B78" s="8"/>
      <c r="C78" s="8"/>
      <c r="D78" s="43"/>
      <c r="E78" s="8"/>
      <c r="F78" s="8"/>
      <c r="G78" s="8"/>
      <c r="H78" s="99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6.5" customHeight="1" x14ac:dyDescent="0.25">
      <c r="A79" s="102"/>
      <c r="B79" s="8"/>
      <c r="C79" s="8"/>
      <c r="D79" s="43"/>
      <c r="E79" s="8"/>
      <c r="F79" s="8"/>
      <c r="G79" s="8"/>
      <c r="H79" s="99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6.5" customHeight="1" x14ac:dyDescent="0.25">
      <c r="A80" s="102"/>
      <c r="B80" s="8"/>
      <c r="C80" s="8"/>
      <c r="D80" s="43"/>
      <c r="E80" s="8"/>
      <c r="F80" s="8"/>
      <c r="G80" s="8"/>
      <c r="H80" s="99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6.5" customHeight="1" x14ac:dyDescent="0.25">
      <c r="A81" s="102"/>
      <c r="B81" s="8"/>
      <c r="C81" s="8"/>
      <c r="D81" s="43"/>
      <c r="E81" s="8"/>
      <c r="F81" s="8"/>
      <c r="G81" s="8"/>
      <c r="H81" s="99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6.5" customHeight="1" x14ac:dyDescent="0.25">
      <c r="A82" s="102"/>
      <c r="B82" s="8"/>
      <c r="C82" s="8"/>
      <c r="D82" s="43"/>
      <c r="E82" s="8"/>
      <c r="F82" s="8"/>
      <c r="G82" s="8"/>
      <c r="H82" s="99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6.5" customHeight="1" x14ac:dyDescent="0.25">
      <c r="A83" s="102"/>
      <c r="B83" s="8"/>
      <c r="C83" s="8"/>
      <c r="D83" s="43"/>
      <c r="E83" s="8"/>
      <c r="F83" s="8"/>
      <c r="G83" s="8"/>
      <c r="H83" s="99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6.5" customHeight="1" x14ac:dyDescent="0.25">
      <c r="A84" s="102"/>
      <c r="B84" s="8"/>
      <c r="C84" s="8"/>
      <c r="D84" s="43"/>
      <c r="E84" s="8"/>
      <c r="F84" s="8"/>
      <c r="G84" s="8"/>
      <c r="H84" s="99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6.5" customHeight="1" x14ac:dyDescent="0.25">
      <c r="A85" s="102"/>
      <c r="B85" s="8"/>
      <c r="C85" s="8"/>
      <c r="D85" s="43"/>
      <c r="E85" s="8"/>
      <c r="F85" s="8"/>
      <c r="G85" s="8"/>
      <c r="H85" s="99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6.5" customHeight="1" x14ac:dyDescent="0.25">
      <c r="A86" s="102"/>
      <c r="B86" s="8"/>
      <c r="C86" s="8"/>
      <c r="D86" s="43"/>
      <c r="E86" s="8"/>
      <c r="F86" s="8"/>
      <c r="G86" s="8"/>
      <c r="H86" s="99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6.5" customHeight="1" x14ac:dyDescent="0.25">
      <c r="A87" s="102"/>
      <c r="B87" s="8"/>
      <c r="C87" s="8"/>
      <c r="D87" s="43"/>
      <c r="E87" s="8"/>
      <c r="F87" s="8"/>
      <c r="G87" s="8"/>
      <c r="H87" s="99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6.5" customHeight="1" x14ac:dyDescent="0.25">
      <c r="A88" s="102"/>
      <c r="B88" s="8"/>
      <c r="C88" s="8"/>
      <c r="D88" s="43"/>
      <c r="E88" s="8"/>
      <c r="F88" s="8"/>
      <c r="G88" s="8"/>
      <c r="H88" s="99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6.5" customHeight="1" x14ac:dyDescent="0.25">
      <c r="A89" s="102"/>
      <c r="B89" s="8"/>
      <c r="C89" s="8"/>
      <c r="D89" s="43"/>
      <c r="E89" s="8"/>
      <c r="F89" s="8"/>
      <c r="G89" s="8"/>
      <c r="H89" s="99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6.5" customHeight="1" x14ac:dyDescent="0.25">
      <c r="A90" s="102"/>
      <c r="B90" s="8"/>
      <c r="C90" s="8"/>
      <c r="D90" s="43"/>
      <c r="E90" s="8"/>
      <c r="F90" s="8"/>
      <c r="G90" s="8"/>
      <c r="H90" s="99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6.5" customHeight="1" x14ac:dyDescent="0.25">
      <c r="A91" s="102"/>
      <c r="B91" s="8"/>
      <c r="C91" s="8"/>
      <c r="D91" s="43"/>
      <c r="E91" s="8"/>
      <c r="F91" s="8"/>
      <c r="G91" s="8"/>
      <c r="H91" s="99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6.5" customHeight="1" x14ac:dyDescent="0.25">
      <c r="A92" s="102"/>
      <c r="B92" s="8"/>
      <c r="C92" s="8"/>
      <c r="D92" s="43"/>
      <c r="E92" s="8"/>
      <c r="F92" s="8"/>
      <c r="G92" s="8"/>
      <c r="H92" s="99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6.5" customHeight="1" x14ac:dyDescent="0.25">
      <c r="A93" s="102"/>
      <c r="B93" s="8"/>
      <c r="C93" s="8"/>
      <c r="D93" s="43"/>
      <c r="E93" s="8"/>
      <c r="F93" s="8"/>
      <c r="G93" s="8"/>
      <c r="H93" s="99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6.5" customHeight="1" x14ac:dyDescent="0.25">
      <c r="A94" s="102"/>
      <c r="B94" s="8"/>
      <c r="C94" s="8"/>
      <c r="D94" s="43"/>
      <c r="E94" s="8"/>
      <c r="F94" s="8"/>
      <c r="G94" s="8"/>
      <c r="H94" s="99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6.5" customHeight="1" x14ac:dyDescent="0.25">
      <c r="A95" s="102"/>
      <c r="B95" s="8"/>
      <c r="C95" s="8"/>
      <c r="D95" s="43"/>
      <c r="E95" s="8"/>
      <c r="F95" s="8"/>
      <c r="G95" s="8"/>
      <c r="H95" s="99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6.5" customHeight="1" x14ac:dyDescent="0.25">
      <c r="A96" s="102"/>
      <c r="B96" s="8"/>
      <c r="C96" s="8"/>
      <c r="D96" s="43"/>
      <c r="E96" s="8"/>
      <c r="F96" s="8"/>
      <c r="G96" s="8"/>
      <c r="H96" s="99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6.5" customHeight="1" x14ac:dyDescent="0.25">
      <c r="A97" s="102"/>
      <c r="B97" s="8"/>
      <c r="C97" s="8"/>
      <c r="D97" s="43"/>
      <c r="E97" s="8"/>
      <c r="F97" s="8"/>
      <c r="G97" s="8"/>
      <c r="H97" s="99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6.5" customHeight="1" x14ac:dyDescent="0.25">
      <c r="A98" s="102"/>
      <c r="B98" s="8"/>
      <c r="C98" s="8"/>
      <c r="D98" s="43"/>
      <c r="E98" s="8"/>
      <c r="F98" s="8"/>
      <c r="G98" s="8"/>
      <c r="H98" s="99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6.5" customHeight="1" x14ac:dyDescent="0.25">
      <c r="A99" s="102"/>
      <c r="B99" s="8"/>
      <c r="C99" s="8"/>
      <c r="D99" s="43"/>
      <c r="E99" s="8"/>
      <c r="F99" s="8"/>
      <c r="G99" s="8"/>
      <c r="H99" s="99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6.5" customHeight="1" x14ac:dyDescent="0.25">
      <c r="A100" s="102"/>
      <c r="B100" s="8"/>
      <c r="C100" s="8"/>
      <c r="D100" s="43"/>
      <c r="E100" s="8"/>
      <c r="F100" s="8"/>
      <c r="G100" s="8"/>
      <c r="H100" s="99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6.5" customHeight="1" x14ac:dyDescent="0.25">
      <c r="A101" s="102"/>
      <c r="B101" s="8"/>
      <c r="C101" s="8"/>
      <c r="D101" s="43"/>
      <c r="E101" s="8"/>
      <c r="F101" s="8"/>
      <c r="G101" s="8"/>
      <c r="H101" s="99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6.5" customHeight="1" x14ac:dyDescent="0.25">
      <c r="A102" s="102"/>
      <c r="B102" s="8"/>
      <c r="C102" s="8"/>
      <c r="D102" s="43"/>
      <c r="E102" s="8"/>
      <c r="F102" s="8"/>
      <c r="G102" s="8"/>
      <c r="H102" s="99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6.5" customHeight="1" x14ac:dyDescent="0.25">
      <c r="A103" s="102"/>
      <c r="B103" s="8"/>
      <c r="C103" s="8"/>
      <c r="D103" s="43"/>
      <c r="E103" s="8"/>
      <c r="F103" s="8"/>
      <c r="G103" s="8"/>
      <c r="H103" s="99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6.5" customHeight="1" x14ac:dyDescent="0.25">
      <c r="A104" s="102"/>
      <c r="B104" s="8"/>
      <c r="C104" s="8"/>
      <c r="D104" s="43"/>
      <c r="E104" s="8"/>
      <c r="F104" s="8"/>
      <c r="G104" s="8"/>
      <c r="H104" s="99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6.5" customHeight="1" x14ac:dyDescent="0.25">
      <c r="A105" s="102"/>
      <c r="B105" s="8"/>
      <c r="C105" s="8"/>
      <c r="D105" s="43"/>
      <c r="E105" s="8"/>
      <c r="F105" s="8"/>
      <c r="G105" s="8"/>
      <c r="H105" s="99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6.5" customHeight="1" x14ac:dyDescent="0.25">
      <c r="A106" s="102"/>
      <c r="B106" s="8"/>
      <c r="C106" s="8"/>
      <c r="D106" s="43"/>
      <c r="E106" s="8"/>
      <c r="F106" s="8"/>
      <c r="G106" s="8"/>
      <c r="H106" s="99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6.5" customHeight="1" x14ac:dyDescent="0.25">
      <c r="A107" s="102"/>
      <c r="B107" s="8"/>
      <c r="C107" s="8"/>
      <c r="D107" s="43"/>
      <c r="E107" s="8"/>
      <c r="F107" s="8"/>
      <c r="G107" s="8"/>
      <c r="H107" s="99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6.5" customHeight="1" x14ac:dyDescent="0.25">
      <c r="A108" s="102"/>
      <c r="B108" s="8"/>
      <c r="C108" s="8"/>
      <c r="D108" s="43"/>
      <c r="E108" s="8"/>
      <c r="F108" s="8"/>
      <c r="G108" s="8"/>
      <c r="H108" s="99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6.5" customHeight="1" x14ac:dyDescent="0.25">
      <c r="A109" s="102"/>
      <c r="B109" s="8"/>
      <c r="C109" s="8"/>
      <c r="D109" s="43"/>
      <c r="E109" s="8"/>
      <c r="F109" s="8"/>
      <c r="G109" s="8"/>
      <c r="H109" s="99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6.5" customHeight="1" x14ac:dyDescent="0.25">
      <c r="A110" s="102"/>
      <c r="B110" s="8"/>
      <c r="C110" s="8"/>
      <c r="D110" s="43"/>
      <c r="E110" s="8"/>
      <c r="F110" s="8"/>
      <c r="G110" s="8"/>
      <c r="H110" s="99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6.5" customHeight="1" x14ac:dyDescent="0.25">
      <c r="A111" s="102"/>
      <c r="B111" s="8"/>
      <c r="C111" s="8"/>
      <c r="D111" s="43"/>
      <c r="E111" s="8"/>
      <c r="F111" s="8"/>
      <c r="G111" s="8"/>
      <c r="H111" s="99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6.5" customHeight="1" x14ac:dyDescent="0.25">
      <c r="A112" s="102"/>
      <c r="B112" s="8"/>
      <c r="C112" s="8"/>
      <c r="D112" s="43"/>
      <c r="E112" s="8"/>
      <c r="F112" s="8"/>
      <c r="G112" s="8"/>
      <c r="H112" s="99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6.5" customHeight="1" x14ac:dyDescent="0.25">
      <c r="A113" s="102"/>
      <c r="B113" s="8"/>
      <c r="C113" s="8"/>
      <c r="D113" s="43"/>
      <c r="E113" s="8"/>
      <c r="F113" s="8"/>
      <c r="G113" s="8"/>
      <c r="H113" s="99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6.5" customHeight="1" x14ac:dyDescent="0.25">
      <c r="A114" s="102"/>
      <c r="B114" s="8"/>
      <c r="C114" s="8"/>
      <c r="D114" s="43"/>
      <c r="E114" s="8"/>
      <c r="F114" s="8"/>
      <c r="G114" s="8"/>
      <c r="H114" s="99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6.5" customHeight="1" x14ac:dyDescent="0.25">
      <c r="A115" s="102"/>
      <c r="B115" s="8"/>
      <c r="C115" s="8"/>
      <c r="D115" s="43"/>
      <c r="E115" s="8"/>
      <c r="F115" s="8"/>
      <c r="G115" s="8"/>
      <c r="H115" s="99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6.5" customHeight="1" x14ac:dyDescent="0.25">
      <c r="A116" s="102"/>
      <c r="B116" s="8"/>
      <c r="C116" s="8"/>
      <c r="D116" s="43"/>
      <c r="E116" s="8"/>
      <c r="F116" s="8"/>
      <c r="G116" s="8"/>
      <c r="H116" s="99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6.5" customHeight="1" x14ac:dyDescent="0.25">
      <c r="A117" s="102"/>
      <c r="B117" s="8"/>
      <c r="C117" s="8"/>
      <c r="D117" s="43"/>
      <c r="E117" s="8"/>
      <c r="F117" s="8"/>
      <c r="G117" s="8"/>
      <c r="H117" s="99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6.5" customHeight="1" x14ac:dyDescent="0.25">
      <c r="A118" s="102"/>
      <c r="B118" s="8"/>
      <c r="C118" s="8"/>
      <c r="D118" s="43"/>
      <c r="E118" s="8"/>
      <c r="F118" s="8"/>
      <c r="G118" s="8"/>
      <c r="H118" s="99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6.5" customHeight="1" x14ac:dyDescent="0.25">
      <c r="A119" s="102"/>
      <c r="B119" s="8"/>
      <c r="C119" s="8"/>
      <c r="D119" s="43"/>
      <c r="E119" s="8"/>
      <c r="F119" s="8"/>
      <c r="G119" s="8"/>
      <c r="H119" s="99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6.5" customHeight="1" x14ac:dyDescent="0.25">
      <c r="A120" s="102"/>
      <c r="B120" s="8"/>
      <c r="C120" s="8"/>
      <c r="D120" s="43"/>
      <c r="E120" s="8"/>
      <c r="F120" s="8"/>
      <c r="G120" s="8"/>
      <c r="H120" s="99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6.5" customHeight="1" x14ac:dyDescent="0.25">
      <c r="A121" s="102"/>
      <c r="B121" s="8"/>
      <c r="C121" s="8"/>
      <c r="D121" s="43"/>
      <c r="E121" s="8"/>
      <c r="F121" s="8"/>
      <c r="G121" s="8"/>
      <c r="H121" s="99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6.5" customHeight="1" x14ac:dyDescent="0.25">
      <c r="A122" s="102"/>
      <c r="B122" s="8"/>
      <c r="C122" s="8"/>
      <c r="D122" s="43"/>
      <c r="E122" s="8"/>
      <c r="F122" s="8"/>
      <c r="G122" s="8"/>
      <c r="H122" s="99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6.5" customHeight="1" x14ac:dyDescent="0.25">
      <c r="A123" s="102"/>
      <c r="B123" s="8"/>
      <c r="C123" s="8"/>
      <c r="D123" s="43"/>
      <c r="E123" s="8"/>
      <c r="F123" s="8"/>
      <c r="G123" s="8"/>
      <c r="H123" s="99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6.5" customHeight="1" x14ac:dyDescent="0.25">
      <c r="A124" s="102"/>
      <c r="B124" s="8"/>
      <c r="C124" s="8"/>
      <c r="D124" s="43"/>
      <c r="E124" s="8"/>
      <c r="F124" s="8"/>
      <c r="G124" s="8"/>
      <c r="H124" s="99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6.5" customHeight="1" x14ac:dyDescent="0.25">
      <c r="A125" s="102"/>
      <c r="B125" s="8"/>
      <c r="C125" s="8"/>
      <c r="D125" s="43"/>
      <c r="E125" s="8"/>
      <c r="F125" s="8"/>
      <c r="G125" s="8"/>
      <c r="H125" s="99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6.5" customHeight="1" x14ac:dyDescent="0.25">
      <c r="A126" s="102"/>
      <c r="B126" s="8"/>
      <c r="C126" s="8"/>
      <c r="D126" s="43"/>
      <c r="E126" s="8"/>
      <c r="F126" s="8"/>
      <c r="G126" s="8"/>
      <c r="H126" s="99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6.5" customHeight="1" x14ac:dyDescent="0.25">
      <c r="A127" s="102"/>
      <c r="B127" s="8"/>
      <c r="C127" s="8"/>
      <c r="D127" s="43"/>
      <c r="E127" s="8"/>
      <c r="F127" s="8"/>
      <c r="G127" s="8"/>
      <c r="H127" s="99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6.5" customHeight="1" x14ac:dyDescent="0.25">
      <c r="A128" s="102"/>
      <c r="B128" s="8"/>
      <c r="C128" s="8"/>
      <c r="D128" s="43"/>
      <c r="E128" s="8"/>
      <c r="F128" s="8"/>
      <c r="G128" s="8"/>
      <c r="H128" s="99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6.5" customHeight="1" x14ac:dyDescent="0.25">
      <c r="A129" s="102"/>
      <c r="B129" s="8"/>
      <c r="C129" s="8"/>
      <c r="D129" s="43"/>
      <c r="E129" s="8"/>
      <c r="F129" s="8"/>
      <c r="G129" s="8"/>
      <c r="H129" s="99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6.5" customHeight="1" x14ac:dyDescent="0.25">
      <c r="A130" s="102"/>
      <c r="B130" s="8"/>
      <c r="C130" s="8"/>
      <c r="D130" s="43"/>
      <c r="E130" s="8"/>
      <c r="F130" s="8"/>
      <c r="G130" s="8"/>
      <c r="H130" s="99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6.5" customHeight="1" x14ac:dyDescent="0.25">
      <c r="A131" s="102"/>
      <c r="B131" s="8"/>
      <c r="C131" s="8"/>
      <c r="D131" s="43"/>
      <c r="E131" s="8"/>
      <c r="F131" s="8"/>
      <c r="G131" s="8"/>
      <c r="H131" s="99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6.5" customHeight="1" x14ac:dyDescent="0.25">
      <c r="A132" s="102"/>
      <c r="B132" s="8"/>
      <c r="C132" s="8"/>
      <c r="D132" s="43"/>
      <c r="E132" s="8"/>
      <c r="F132" s="8"/>
      <c r="G132" s="8"/>
      <c r="H132" s="99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6.5" customHeight="1" x14ac:dyDescent="0.25">
      <c r="A133" s="102"/>
      <c r="B133" s="8"/>
      <c r="C133" s="8"/>
      <c r="D133" s="43"/>
      <c r="E133" s="8"/>
      <c r="F133" s="8"/>
      <c r="G133" s="8"/>
      <c r="H133" s="99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6.5" customHeight="1" x14ac:dyDescent="0.25">
      <c r="A134" s="102"/>
      <c r="B134" s="8"/>
      <c r="C134" s="8"/>
      <c r="D134" s="43"/>
      <c r="E134" s="8"/>
      <c r="F134" s="8"/>
      <c r="G134" s="8"/>
      <c r="H134" s="99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6.5" customHeight="1" x14ac:dyDescent="0.25">
      <c r="A135" s="102"/>
      <c r="B135" s="8"/>
      <c r="C135" s="8"/>
      <c r="D135" s="43"/>
      <c r="E135" s="8"/>
      <c r="F135" s="8"/>
      <c r="G135" s="8"/>
      <c r="H135" s="99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6.5" customHeight="1" x14ac:dyDescent="0.25">
      <c r="A136" s="102"/>
      <c r="B136" s="8"/>
      <c r="C136" s="8"/>
      <c r="D136" s="43"/>
      <c r="E136" s="8"/>
      <c r="F136" s="8"/>
      <c r="G136" s="8"/>
      <c r="H136" s="99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6.5" customHeight="1" x14ac:dyDescent="0.25">
      <c r="A137" s="102"/>
      <c r="B137" s="8"/>
      <c r="C137" s="8"/>
      <c r="D137" s="43"/>
      <c r="E137" s="8"/>
      <c r="F137" s="8"/>
      <c r="G137" s="8"/>
      <c r="H137" s="99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6.5" customHeight="1" x14ac:dyDescent="0.25">
      <c r="A138" s="102"/>
      <c r="B138" s="8"/>
      <c r="C138" s="8"/>
      <c r="D138" s="43"/>
      <c r="E138" s="8"/>
      <c r="F138" s="8"/>
      <c r="G138" s="8"/>
      <c r="H138" s="99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6.5" customHeight="1" x14ac:dyDescent="0.25">
      <c r="A139" s="102"/>
      <c r="B139" s="8"/>
      <c r="C139" s="8"/>
      <c r="D139" s="43"/>
      <c r="E139" s="8"/>
      <c r="F139" s="8"/>
      <c r="G139" s="8"/>
      <c r="H139" s="99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6.5" customHeight="1" x14ac:dyDescent="0.25">
      <c r="A140" s="102"/>
      <c r="B140" s="8"/>
      <c r="C140" s="8"/>
      <c r="D140" s="43"/>
      <c r="E140" s="8"/>
      <c r="F140" s="8"/>
      <c r="G140" s="8"/>
      <c r="H140" s="99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6.5" customHeight="1" x14ac:dyDescent="0.25">
      <c r="A141" s="102"/>
      <c r="B141" s="8"/>
      <c r="C141" s="8"/>
      <c r="D141" s="43"/>
      <c r="E141" s="8"/>
      <c r="F141" s="8"/>
      <c r="G141" s="8"/>
      <c r="H141" s="99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6.5" customHeight="1" x14ac:dyDescent="0.25">
      <c r="A142" s="102"/>
      <c r="B142" s="8"/>
      <c r="C142" s="8"/>
      <c r="D142" s="43"/>
      <c r="E142" s="8"/>
      <c r="F142" s="8"/>
      <c r="G142" s="8"/>
      <c r="H142" s="99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6.5" customHeight="1" x14ac:dyDescent="0.25">
      <c r="A143" s="102"/>
      <c r="B143" s="8"/>
      <c r="C143" s="8"/>
      <c r="D143" s="43"/>
      <c r="E143" s="8"/>
      <c r="F143" s="8"/>
      <c r="G143" s="8"/>
      <c r="H143" s="99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6.5" customHeight="1" x14ac:dyDescent="0.25">
      <c r="A144" s="102"/>
      <c r="B144" s="8"/>
      <c r="C144" s="8"/>
      <c r="D144" s="43"/>
      <c r="E144" s="8"/>
      <c r="F144" s="8"/>
      <c r="G144" s="8"/>
      <c r="H144" s="99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6.5" customHeight="1" x14ac:dyDescent="0.25">
      <c r="A145" s="102"/>
      <c r="B145" s="8"/>
      <c r="C145" s="8"/>
      <c r="D145" s="43"/>
      <c r="E145" s="8"/>
      <c r="F145" s="8"/>
      <c r="G145" s="8"/>
      <c r="H145" s="99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6.5" customHeight="1" x14ac:dyDescent="0.25">
      <c r="A146" s="102"/>
      <c r="B146" s="8"/>
      <c r="C146" s="8"/>
      <c r="D146" s="43"/>
      <c r="E146" s="8"/>
      <c r="F146" s="8"/>
      <c r="G146" s="8"/>
      <c r="H146" s="99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6.5" customHeight="1" x14ac:dyDescent="0.25">
      <c r="A147" s="102"/>
      <c r="B147" s="8"/>
      <c r="C147" s="8"/>
      <c r="D147" s="43"/>
      <c r="E147" s="8"/>
      <c r="F147" s="8"/>
      <c r="G147" s="8"/>
      <c r="H147" s="99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6.5" customHeight="1" x14ac:dyDescent="0.25">
      <c r="A148" s="102"/>
      <c r="B148" s="8"/>
      <c r="C148" s="8"/>
      <c r="D148" s="43"/>
      <c r="E148" s="8"/>
      <c r="F148" s="8"/>
      <c r="G148" s="8"/>
      <c r="H148" s="99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6.5" customHeight="1" x14ac:dyDescent="0.25">
      <c r="A149" s="102"/>
      <c r="B149" s="8"/>
      <c r="C149" s="8"/>
      <c r="D149" s="43"/>
      <c r="E149" s="8"/>
      <c r="F149" s="8"/>
      <c r="G149" s="8"/>
      <c r="H149" s="99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6.5" customHeight="1" x14ac:dyDescent="0.25">
      <c r="A150" s="102"/>
      <c r="B150" s="8"/>
      <c r="C150" s="8"/>
      <c r="D150" s="43"/>
      <c r="E150" s="8"/>
      <c r="F150" s="8"/>
      <c r="G150" s="8"/>
      <c r="H150" s="99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6.5" customHeight="1" x14ac:dyDescent="0.25">
      <c r="A151" s="102"/>
      <c r="B151" s="8"/>
      <c r="C151" s="8"/>
      <c r="D151" s="43"/>
      <c r="E151" s="8"/>
      <c r="F151" s="8"/>
      <c r="G151" s="8"/>
      <c r="H151" s="99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6.5" customHeight="1" x14ac:dyDescent="0.25">
      <c r="A152" s="102"/>
      <c r="B152" s="8"/>
      <c r="C152" s="8"/>
      <c r="D152" s="43"/>
      <c r="E152" s="8"/>
      <c r="F152" s="8"/>
      <c r="G152" s="8"/>
      <c r="H152" s="99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6.5" customHeight="1" x14ac:dyDescent="0.25">
      <c r="A153" s="102"/>
      <c r="B153" s="8"/>
      <c r="C153" s="8"/>
      <c r="D153" s="43"/>
      <c r="E153" s="8"/>
      <c r="F153" s="8"/>
      <c r="G153" s="8"/>
      <c r="H153" s="99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6.5" customHeight="1" x14ac:dyDescent="0.25">
      <c r="A154" s="102"/>
      <c r="B154" s="8"/>
      <c r="C154" s="8"/>
      <c r="D154" s="43"/>
      <c r="E154" s="8"/>
      <c r="F154" s="8"/>
      <c r="G154" s="8"/>
      <c r="H154" s="99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6.5" customHeight="1" x14ac:dyDescent="0.25">
      <c r="A155" s="102"/>
      <c r="B155" s="8"/>
      <c r="C155" s="8"/>
      <c r="D155" s="43"/>
      <c r="E155" s="8"/>
      <c r="F155" s="8"/>
      <c r="G155" s="8"/>
      <c r="H155" s="99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6.5" customHeight="1" x14ac:dyDescent="0.25">
      <c r="A156" s="102"/>
      <c r="B156" s="8"/>
      <c r="C156" s="8"/>
      <c r="D156" s="43"/>
      <c r="E156" s="8"/>
      <c r="F156" s="8"/>
      <c r="G156" s="8"/>
      <c r="H156" s="99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6.5" customHeight="1" x14ac:dyDescent="0.25">
      <c r="A157" s="102"/>
      <c r="B157" s="8"/>
      <c r="C157" s="8"/>
      <c r="D157" s="43"/>
      <c r="E157" s="8"/>
      <c r="F157" s="8"/>
      <c r="G157" s="8"/>
      <c r="H157" s="99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6.5" customHeight="1" x14ac:dyDescent="0.25">
      <c r="A158" s="102"/>
      <c r="B158" s="8"/>
      <c r="C158" s="8"/>
      <c r="D158" s="43"/>
      <c r="E158" s="8"/>
      <c r="F158" s="8"/>
      <c r="G158" s="8"/>
      <c r="H158" s="99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6.5" customHeight="1" x14ac:dyDescent="0.25">
      <c r="A159" s="102"/>
      <c r="B159" s="8"/>
      <c r="C159" s="8"/>
      <c r="D159" s="43"/>
      <c r="E159" s="8"/>
      <c r="F159" s="8"/>
      <c r="G159" s="8"/>
      <c r="H159" s="99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6.5" customHeight="1" x14ac:dyDescent="0.25">
      <c r="A160" s="102"/>
      <c r="B160" s="8"/>
      <c r="C160" s="8"/>
      <c r="D160" s="43"/>
      <c r="E160" s="8"/>
      <c r="F160" s="8"/>
      <c r="G160" s="8"/>
      <c r="H160" s="99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6.5" customHeight="1" x14ac:dyDescent="0.25">
      <c r="A161" s="102"/>
      <c r="B161" s="8"/>
      <c r="C161" s="8"/>
      <c r="D161" s="43"/>
      <c r="E161" s="8"/>
      <c r="F161" s="8"/>
      <c r="G161" s="8"/>
      <c r="H161" s="99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6.5" customHeight="1" x14ac:dyDescent="0.25">
      <c r="A162" s="102"/>
      <c r="B162" s="8"/>
      <c r="C162" s="8"/>
      <c r="D162" s="43"/>
      <c r="E162" s="8"/>
      <c r="F162" s="8"/>
      <c r="G162" s="8"/>
      <c r="H162" s="99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6.5" customHeight="1" x14ac:dyDescent="0.25">
      <c r="A163" s="102"/>
      <c r="B163" s="8"/>
      <c r="C163" s="8"/>
      <c r="D163" s="43"/>
      <c r="E163" s="8"/>
      <c r="F163" s="8"/>
      <c r="G163" s="8"/>
      <c r="H163" s="99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6.5" customHeight="1" x14ac:dyDescent="0.25">
      <c r="A164" s="102"/>
      <c r="B164" s="8"/>
      <c r="C164" s="8"/>
      <c r="D164" s="43"/>
      <c r="E164" s="8"/>
      <c r="F164" s="8"/>
      <c r="G164" s="8"/>
      <c r="H164" s="99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6.5" customHeight="1" x14ac:dyDescent="0.25">
      <c r="A165" s="102"/>
      <c r="B165" s="8"/>
      <c r="C165" s="8"/>
      <c r="D165" s="43"/>
      <c r="E165" s="8"/>
      <c r="F165" s="8"/>
      <c r="G165" s="8"/>
      <c r="H165" s="99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6.5" customHeight="1" x14ac:dyDescent="0.25">
      <c r="A166" s="102"/>
      <c r="B166" s="8"/>
      <c r="C166" s="8"/>
      <c r="D166" s="43"/>
      <c r="E166" s="8"/>
      <c r="F166" s="8"/>
      <c r="G166" s="8"/>
      <c r="H166" s="99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6.5" customHeight="1" x14ac:dyDescent="0.25">
      <c r="A167" s="102"/>
      <c r="B167" s="8"/>
      <c r="C167" s="8"/>
      <c r="D167" s="43"/>
      <c r="E167" s="8"/>
      <c r="F167" s="8"/>
      <c r="G167" s="8"/>
      <c r="H167" s="99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6.5" customHeight="1" x14ac:dyDescent="0.25">
      <c r="A168" s="102"/>
      <c r="B168" s="8"/>
      <c r="C168" s="8"/>
      <c r="D168" s="43"/>
      <c r="E168" s="8"/>
      <c r="F168" s="8"/>
      <c r="G168" s="8"/>
      <c r="H168" s="99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6.5" customHeight="1" x14ac:dyDescent="0.25">
      <c r="A169" s="102"/>
      <c r="B169" s="8"/>
      <c r="C169" s="8"/>
      <c r="D169" s="43"/>
      <c r="E169" s="8"/>
      <c r="F169" s="8"/>
      <c r="G169" s="8"/>
      <c r="H169" s="99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6.5" customHeight="1" x14ac:dyDescent="0.25">
      <c r="A170" s="102"/>
      <c r="B170" s="8"/>
      <c r="C170" s="8"/>
      <c r="D170" s="43"/>
      <c r="E170" s="8"/>
      <c r="F170" s="8"/>
      <c r="G170" s="8"/>
      <c r="H170" s="99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6.5" customHeight="1" x14ac:dyDescent="0.25">
      <c r="A171" s="102"/>
      <c r="B171" s="8"/>
      <c r="C171" s="8"/>
      <c r="D171" s="43"/>
      <c r="E171" s="8"/>
      <c r="F171" s="8"/>
      <c r="G171" s="8"/>
      <c r="H171" s="99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6.5" customHeight="1" x14ac:dyDescent="0.25">
      <c r="A172" s="102"/>
      <c r="B172" s="8"/>
      <c r="C172" s="8"/>
      <c r="D172" s="43"/>
      <c r="E172" s="8"/>
      <c r="F172" s="8"/>
      <c r="G172" s="8"/>
      <c r="H172" s="99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6.5" customHeight="1" x14ac:dyDescent="0.25">
      <c r="A173" s="102"/>
      <c r="B173" s="8"/>
      <c r="C173" s="8"/>
      <c r="D173" s="43"/>
      <c r="E173" s="8"/>
      <c r="F173" s="8"/>
      <c r="G173" s="8"/>
      <c r="H173" s="99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6.5" customHeight="1" x14ac:dyDescent="0.25">
      <c r="A174" s="102"/>
      <c r="B174" s="8"/>
      <c r="C174" s="8"/>
      <c r="D174" s="43"/>
      <c r="E174" s="8"/>
      <c r="F174" s="8"/>
      <c r="G174" s="8"/>
      <c r="H174" s="99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6.5" customHeight="1" x14ac:dyDescent="0.25">
      <c r="A175" s="102"/>
      <c r="B175" s="8"/>
      <c r="C175" s="8"/>
      <c r="D175" s="43"/>
      <c r="E175" s="8"/>
      <c r="F175" s="8"/>
      <c r="G175" s="8"/>
      <c r="H175" s="99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6.5" customHeight="1" x14ac:dyDescent="0.25">
      <c r="A176" s="102"/>
      <c r="B176" s="8"/>
      <c r="C176" s="8"/>
      <c r="D176" s="43"/>
      <c r="E176" s="8"/>
      <c r="F176" s="8"/>
      <c r="G176" s="8"/>
      <c r="H176" s="99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6.5" customHeight="1" x14ac:dyDescent="0.25">
      <c r="A177" s="102"/>
      <c r="B177" s="8"/>
      <c r="C177" s="8"/>
      <c r="D177" s="43"/>
      <c r="E177" s="8"/>
      <c r="F177" s="8"/>
      <c r="G177" s="8"/>
      <c r="H177" s="99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6.5" customHeight="1" x14ac:dyDescent="0.25">
      <c r="A178" s="102"/>
      <c r="B178" s="8"/>
      <c r="C178" s="8"/>
      <c r="D178" s="43"/>
      <c r="E178" s="8"/>
      <c r="F178" s="8"/>
      <c r="G178" s="8"/>
      <c r="H178" s="99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6.5" customHeight="1" x14ac:dyDescent="0.25">
      <c r="A179" s="102"/>
      <c r="B179" s="8"/>
      <c r="C179" s="8"/>
      <c r="D179" s="43"/>
      <c r="E179" s="8"/>
      <c r="F179" s="8"/>
      <c r="G179" s="8"/>
      <c r="H179" s="99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6.5" customHeight="1" x14ac:dyDescent="0.25">
      <c r="A180" s="102"/>
      <c r="B180" s="8"/>
      <c r="C180" s="8"/>
      <c r="D180" s="43"/>
      <c r="E180" s="8"/>
      <c r="F180" s="8"/>
      <c r="G180" s="8"/>
      <c r="H180" s="99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6.5" customHeight="1" x14ac:dyDescent="0.25">
      <c r="A181" s="102"/>
      <c r="B181" s="8"/>
      <c r="C181" s="8"/>
      <c r="D181" s="43"/>
      <c r="E181" s="8"/>
      <c r="F181" s="8"/>
      <c r="G181" s="8"/>
      <c r="H181" s="99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6.5" customHeight="1" x14ac:dyDescent="0.25">
      <c r="A182" s="102"/>
      <c r="B182" s="8"/>
      <c r="C182" s="8"/>
      <c r="D182" s="43"/>
      <c r="E182" s="8"/>
      <c r="F182" s="8"/>
      <c r="G182" s="8"/>
      <c r="H182" s="99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6.5" customHeight="1" x14ac:dyDescent="0.25">
      <c r="A183" s="102"/>
      <c r="B183" s="8"/>
      <c r="C183" s="8"/>
      <c r="D183" s="43"/>
      <c r="E183" s="8"/>
      <c r="F183" s="8"/>
      <c r="G183" s="8"/>
      <c r="H183" s="99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6.5" customHeight="1" x14ac:dyDescent="0.25">
      <c r="A184" s="102"/>
      <c r="B184" s="8"/>
      <c r="C184" s="8"/>
      <c r="D184" s="43"/>
      <c r="E184" s="8"/>
      <c r="F184" s="8"/>
      <c r="G184" s="8"/>
      <c r="H184" s="99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6.5" customHeight="1" x14ac:dyDescent="0.25">
      <c r="A185" s="102"/>
      <c r="B185" s="8"/>
      <c r="C185" s="8"/>
      <c r="D185" s="43"/>
      <c r="E185" s="8"/>
      <c r="F185" s="8"/>
      <c r="G185" s="8"/>
      <c r="H185" s="99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6.5" customHeight="1" x14ac:dyDescent="0.25">
      <c r="A186" s="102"/>
      <c r="B186" s="8"/>
      <c r="C186" s="8"/>
      <c r="D186" s="43"/>
      <c r="E186" s="8"/>
      <c r="F186" s="8"/>
      <c r="G186" s="8"/>
      <c r="H186" s="99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6.5" customHeight="1" x14ac:dyDescent="0.25">
      <c r="A187" s="102"/>
      <c r="B187" s="8"/>
      <c r="C187" s="8"/>
      <c r="D187" s="43"/>
      <c r="E187" s="8"/>
      <c r="F187" s="8"/>
      <c r="G187" s="8"/>
      <c r="H187" s="99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6.5" customHeight="1" x14ac:dyDescent="0.25">
      <c r="A188" s="102"/>
      <c r="B188" s="8"/>
      <c r="C188" s="8"/>
      <c r="D188" s="43"/>
      <c r="E188" s="8"/>
      <c r="F188" s="8"/>
      <c r="G188" s="8"/>
      <c r="H188" s="99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6.5" customHeight="1" x14ac:dyDescent="0.25">
      <c r="A189" s="102"/>
      <c r="B189" s="8"/>
      <c r="C189" s="8"/>
      <c r="D189" s="43"/>
      <c r="E189" s="8"/>
      <c r="F189" s="8"/>
      <c r="G189" s="8"/>
      <c r="H189" s="99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6.5" customHeight="1" x14ac:dyDescent="0.25">
      <c r="A190" s="102"/>
      <c r="B190" s="8"/>
      <c r="C190" s="8"/>
      <c r="D190" s="43"/>
      <c r="E190" s="8"/>
      <c r="F190" s="8"/>
      <c r="G190" s="8"/>
      <c r="H190" s="99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6.5" customHeight="1" x14ac:dyDescent="0.25">
      <c r="A191" s="102"/>
      <c r="B191" s="8"/>
      <c r="C191" s="8"/>
      <c r="D191" s="43"/>
      <c r="E191" s="8"/>
      <c r="F191" s="8"/>
      <c r="G191" s="8"/>
      <c r="H191" s="99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6.5" customHeight="1" x14ac:dyDescent="0.25">
      <c r="A192" s="102"/>
      <c r="B192" s="8"/>
      <c r="C192" s="8"/>
      <c r="D192" s="43"/>
      <c r="E192" s="8"/>
      <c r="F192" s="8"/>
      <c r="G192" s="8"/>
      <c r="H192" s="99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6.5" customHeight="1" x14ac:dyDescent="0.25">
      <c r="A193" s="102"/>
      <c r="B193" s="8"/>
      <c r="C193" s="8"/>
      <c r="D193" s="43"/>
      <c r="E193" s="8"/>
      <c r="F193" s="8"/>
      <c r="G193" s="8"/>
      <c r="H193" s="99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6.5" customHeight="1" x14ac:dyDescent="0.25">
      <c r="A194" s="102"/>
      <c r="B194" s="8"/>
      <c r="C194" s="8"/>
      <c r="D194" s="43"/>
      <c r="E194" s="8"/>
      <c r="F194" s="8"/>
      <c r="G194" s="8"/>
      <c r="H194" s="99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6.5" customHeight="1" x14ac:dyDescent="0.25">
      <c r="A195" s="102"/>
      <c r="B195" s="8"/>
      <c r="C195" s="8"/>
      <c r="D195" s="43"/>
      <c r="E195" s="8"/>
      <c r="F195" s="8"/>
      <c r="G195" s="8"/>
      <c r="H195" s="99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6.5" customHeight="1" x14ac:dyDescent="0.25">
      <c r="A196" s="102"/>
      <c r="B196" s="8"/>
      <c r="C196" s="8"/>
      <c r="D196" s="43"/>
      <c r="E196" s="8"/>
      <c r="F196" s="8"/>
      <c r="G196" s="8"/>
      <c r="H196" s="99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6.5" customHeight="1" x14ac:dyDescent="0.25">
      <c r="A197" s="102"/>
      <c r="B197" s="8"/>
      <c r="C197" s="8"/>
      <c r="D197" s="43"/>
      <c r="E197" s="8"/>
      <c r="F197" s="8"/>
      <c r="G197" s="8"/>
      <c r="H197" s="99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6.5" customHeight="1" x14ac:dyDescent="0.25">
      <c r="A198" s="102"/>
      <c r="B198" s="8"/>
      <c r="C198" s="8"/>
      <c r="D198" s="43"/>
      <c r="E198" s="8"/>
      <c r="F198" s="8"/>
      <c r="G198" s="8"/>
      <c r="H198" s="99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6.5" customHeight="1" x14ac:dyDescent="0.25">
      <c r="A199" s="102"/>
      <c r="B199" s="8"/>
      <c r="C199" s="8"/>
      <c r="D199" s="43"/>
      <c r="E199" s="8"/>
      <c r="F199" s="8"/>
      <c r="G199" s="8"/>
      <c r="H199" s="99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6.5" customHeight="1" x14ac:dyDescent="0.25">
      <c r="A200" s="102"/>
      <c r="B200" s="8"/>
      <c r="C200" s="8"/>
      <c r="D200" s="43"/>
      <c r="E200" s="8"/>
      <c r="F200" s="8"/>
      <c r="G200" s="8"/>
      <c r="H200" s="99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6.5" customHeight="1" x14ac:dyDescent="0.25">
      <c r="A201" s="102"/>
      <c r="B201" s="8"/>
      <c r="C201" s="8"/>
      <c r="D201" s="43"/>
      <c r="E201" s="8"/>
      <c r="F201" s="8"/>
      <c r="G201" s="8"/>
      <c r="H201" s="99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6.5" customHeight="1" x14ac:dyDescent="0.25">
      <c r="A202" s="102"/>
      <c r="B202" s="8"/>
      <c r="C202" s="8"/>
      <c r="D202" s="43"/>
      <c r="E202" s="8"/>
      <c r="F202" s="8"/>
      <c r="G202" s="8"/>
      <c r="H202" s="99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6.5" customHeight="1" x14ac:dyDescent="0.25">
      <c r="A203" s="102"/>
      <c r="B203" s="8"/>
      <c r="C203" s="8"/>
      <c r="D203" s="43"/>
      <c r="E203" s="8"/>
      <c r="F203" s="8"/>
      <c r="G203" s="8"/>
      <c r="H203" s="99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6.5" customHeight="1" x14ac:dyDescent="0.25">
      <c r="A204" s="102"/>
      <c r="B204" s="8"/>
      <c r="C204" s="8"/>
      <c r="D204" s="43"/>
      <c r="E204" s="8"/>
      <c r="F204" s="8"/>
      <c r="G204" s="8"/>
      <c r="H204" s="99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6.5" customHeight="1" x14ac:dyDescent="0.25">
      <c r="A205" s="102"/>
      <c r="B205" s="8"/>
      <c r="C205" s="8"/>
      <c r="D205" s="43"/>
      <c r="E205" s="8"/>
      <c r="F205" s="8"/>
      <c r="G205" s="8"/>
      <c r="H205" s="99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6.5" customHeight="1" x14ac:dyDescent="0.25">
      <c r="A206" s="102"/>
      <c r="B206" s="8"/>
      <c r="C206" s="8"/>
      <c r="D206" s="43"/>
      <c r="E206" s="8"/>
      <c r="F206" s="8"/>
      <c r="G206" s="8"/>
      <c r="H206" s="99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6.5" customHeight="1" x14ac:dyDescent="0.25">
      <c r="A207" s="102"/>
      <c r="B207" s="8"/>
      <c r="C207" s="8"/>
      <c r="D207" s="43"/>
      <c r="E207" s="8"/>
      <c r="F207" s="8"/>
      <c r="G207" s="8"/>
      <c r="H207" s="99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6.5" customHeight="1" x14ac:dyDescent="0.25">
      <c r="A208" s="102"/>
      <c r="B208" s="8"/>
      <c r="C208" s="8"/>
      <c r="D208" s="43"/>
      <c r="E208" s="8"/>
      <c r="F208" s="8"/>
      <c r="G208" s="8"/>
      <c r="H208" s="99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6.5" customHeight="1" x14ac:dyDescent="0.25">
      <c r="A209" s="102"/>
      <c r="B209" s="8"/>
      <c r="C209" s="8"/>
      <c r="D209" s="43"/>
      <c r="E209" s="8"/>
      <c r="F209" s="8"/>
      <c r="G209" s="8"/>
      <c r="H209" s="99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.5" customHeight="1" x14ac:dyDescent="0.25">
      <c r="A210" s="102"/>
      <c r="B210" s="8"/>
      <c r="C210" s="8"/>
      <c r="D210" s="43"/>
      <c r="E210" s="8"/>
      <c r="F210" s="8"/>
      <c r="G210" s="8"/>
      <c r="H210" s="99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6.5" customHeight="1" x14ac:dyDescent="0.25">
      <c r="A211" s="102"/>
      <c r="B211" s="8"/>
      <c r="C211" s="8"/>
      <c r="D211" s="43"/>
      <c r="E211" s="8"/>
      <c r="F211" s="8"/>
      <c r="G211" s="8"/>
      <c r="H211" s="99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6.5" customHeight="1" x14ac:dyDescent="0.25">
      <c r="A212" s="102"/>
      <c r="B212" s="8"/>
      <c r="C212" s="8"/>
      <c r="D212" s="43"/>
      <c r="E212" s="8"/>
      <c r="F212" s="8"/>
      <c r="G212" s="8"/>
      <c r="H212" s="99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6.5" customHeight="1" x14ac:dyDescent="0.25">
      <c r="A213" s="102"/>
      <c r="B213" s="8"/>
      <c r="C213" s="8"/>
      <c r="D213" s="43"/>
      <c r="E213" s="8"/>
      <c r="F213" s="8"/>
      <c r="G213" s="8"/>
      <c r="H213" s="99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6.5" customHeight="1" x14ac:dyDescent="0.25">
      <c r="A214" s="102"/>
      <c r="B214" s="8"/>
      <c r="C214" s="8"/>
      <c r="D214" s="43"/>
      <c r="E214" s="8"/>
      <c r="F214" s="8"/>
      <c r="G214" s="8"/>
      <c r="H214" s="99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6.5" customHeight="1" x14ac:dyDescent="0.25">
      <c r="A215" s="102"/>
      <c r="B215" s="8"/>
      <c r="C215" s="8"/>
      <c r="D215" s="43"/>
      <c r="E215" s="8"/>
      <c r="F215" s="8"/>
      <c r="G215" s="8"/>
      <c r="H215" s="99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6.5" customHeight="1" x14ac:dyDescent="0.25">
      <c r="A216" s="102"/>
      <c r="B216" s="8"/>
      <c r="C216" s="8"/>
      <c r="D216" s="43"/>
      <c r="E216" s="8"/>
      <c r="F216" s="8"/>
      <c r="G216" s="8"/>
      <c r="H216" s="99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6.5" customHeight="1" x14ac:dyDescent="0.25">
      <c r="A217" s="102"/>
      <c r="B217" s="8"/>
      <c r="C217" s="8"/>
      <c r="D217" s="43"/>
      <c r="E217" s="8"/>
      <c r="F217" s="8"/>
      <c r="G217" s="8"/>
      <c r="H217" s="99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6.5" customHeight="1" x14ac:dyDescent="0.25">
      <c r="A218" s="102"/>
      <c r="B218" s="8"/>
      <c r="C218" s="8"/>
      <c r="D218" s="43"/>
      <c r="E218" s="8"/>
      <c r="F218" s="8"/>
      <c r="G218" s="8"/>
      <c r="H218" s="99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4.25" x14ac:dyDescent="0.2">
      <c r="A219" s="103"/>
      <c r="D219" s="104"/>
      <c r="H219" s="99"/>
    </row>
    <row r="220" spans="1:25" ht="14.25" x14ac:dyDescent="0.2">
      <c r="A220" s="103"/>
      <c r="D220" s="104"/>
      <c r="H220" s="99"/>
    </row>
    <row r="221" spans="1:25" ht="14.25" x14ac:dyDescent="0.2">
      <c r="A221" s="103"/>
      <c r="D221" s="104"/>
      <c r="H221" s="99"/>
    </row>
    <row r="222" spans="1:25" ht="14.25" x14ac:dyDescent="0.2">
      <c r="A222" s="103"/>
      <c r="D222" s="104"/>
      <c r="H222" s="99"/>
    </row>
    <row r="223" spans="1:25" ht="14.25" x14ac:dyDescent="0.2">
      <c r="A223" s="103"/>
      <c r="D223" s="104"/>
      <c r="H223" s="99"/>
    </row>
    <row r="224" spans="1:25" ht="14.25" x14ac:dyDescent="0.2">
      <c r="A224" s="103"/>
      <c r="D224" s="104"/>
      <c r="H224" s="99"/>
    </row>
    <row r="225" spans="1:8" ht="14.25" x14ac:dyDescent="0.2">
      <c r="A225" s="103"/>
      <c r="D225" s="104"/>
      <c r="H225" s="99"/>
    </row>
    <row r="226" spans="1:8" ht="14.25" x14ac:dyDescent="0.2">
      <c r="A226" s="103"/>
      <c r="D226" s="104"/>
      <c r="H226" s="99"/>
    </row>
    <row r="227" spans="1:8" ht="14.25" x14ac:dyDescent="0.2">
      <c r="A227" s="103"/>
      <c r="D227" s="104"/>
      <c r="H227" s="99"/>
    </row>
    <row r="228" spans="1:8" ht="14.25" x14ac:dyDescent="0.2">
      <c r="A228" s="103"/>
      <c r="D228" s="104"/>
      <c r="H228" s="99"/>
    </row>
    <row r="229" spans="1:8" ht="14.25" x14ac:dyDescent="0.2">
      <c r="A229" s="103"/>
      <c r="D229" s="104"/>
      <c r="H229" s="99"/>
    </row>
    <row r="230" spans="1:8" ht="14.25" x14ac:dyDescent="0.2">
      <c r="A230" s="103"/>
      <c r="D230" s="104"/>
      <c r="H230" s="99"/>
    </row>
    <row r="231" spans="1:8" ht="14.25" x14ac:dyDescent="0.2">
      <c r="A231" s="103"/>
      <c r="D231" s="104"/>
      <c r="H231" s="99"/>
    </row>
    <row r="232" spans="1:8" ht="14.25" x14ac:dyDescent="0.2">
      <c r="A232" s="103"/>
      <c r="D232" s="104"/>
      <c r="H232" s="99"/>
    </row>
    <row r="233" spans="1:8" ht="14.25" x14ac:dyDescent="0.2">
      <c r="A233" s="103"/>
      <c r="D233" s="104"/>
      <c r="H233" s="99"/>
    </row>
    <row r="234" spans="1:8" ht="14.25" x14ac:dyDescent="0.2">
      <c r="A234" s="103"/>
      <c r="D234" s="104"/>
      <c r="H234" s="99"/>
    </row>
    <row r="235" spans="1:8" ht="14.25" x14ac:dyDescent="0.2">
      <c r="A235" s="103"/>
      <c r="D235" s="104"/>
      <c r="H235" s="99"/>
    </row>
    <row r="236" spans="1:8" ht="14.25" x14ac:dyDescent="0.2">
      <c r="A236" s="103"/>
      <c r="D236" s="104"/>
      <c r="H236" s="99"/>
    </row>
    <row r="237" spans="1:8" ht="14.25" x14ac:dyDescent="0.2">
      <c r="A237" s="103"/>
      <c r="D237" s="104"/>
      <c r="H237" s="99"/>
    </row>
    <row r="238" spans="1:8" ht="14.25" x14ac:dyDescent="0.2">
      <c r="A238" s="103"/>
      <c r="D238" s="104"/>
      <c r="H238" s="99"/>
    </row>
    <row r="239" spans="1:8" ht="14.25" x14ac:dyDescent="0.2">
      <c r="A239" s="103"/>
      <c r="D239" s="104"/>
      <c r="H239" s="99"/>
    </row>
    <row r="240" spans="1:8" ht="14.25" x14ac:dyDescent="0.2">
      <c r="A240" s="103"/>
      <c r="D240" s="104"/>
      <c r="H240" s="99"/>
    </row>
    <row r="241" spans="1:8" ht="14.25" x14ac:dyDescent="0.2">
      <c r="A241" s="103"/>
      <c r="D241" s="104"/>
      <c r="H241" s="99"/>
    </row>
    <row r="242" spans="1:8" ht="14.25" x14ac:dyDescent="0.2">
      <c r="A242" s="103"/>
      <c r="D242" s="104"/>
      <c r="H242" s="99"/>
    </row>
    <row r="243" spans="1:8" ht="14.25" x14ac:dyDescent="0.2">
      <c r="A243" s="103"/>
      <c r="D243" s="104"/>
      <c r="H243" s="99"/>
    </row>
    <row r="244" spans="1:8" ht="14.25" x14ac:dyDescent="0.2">
      <c r="A244" s="103"/>
      <c r="D244" s="104"/>
      <c r="H244" s="99"/>
    </row>
    <row r="245" spans="1:8" ht="14.25" x14ac:dyDescent="0.2">
      <c r="A245" s="103"/>
      <c r="D245" s="104"/>
      <c r="H245" s="99"/>
    </row>
    <row r="246" spans="1:8" ht="14.25" x14ac:dyDescent="0.2">
      <c r="A246" s="103"/>
      <c r="D246" s="104"/>
      <c r="H246" s="99"/>
    </row>
    <row r="247" spans="1:8" ht="14.25" x14ac:dyDescent="0.2">
      <c r="A247" s="103"/>
      <c r="D247" s="104"/>
      <c r="H247" s="99"/>
    </row>
    <row r="248" spans="1:8" ht="14.25" x14ac:dyDescent="0.2">
      <c r="A248" s="103"/>
      <c r="D248" s="104"/>
      <c r="H248" s="99"/>
    </row>
    <row r="249" spans="1:8" ht="14.25" x14ac:dyDescent="0.2">
      <c r="A249" s="103"/>
      <c r="D249" s="104"/>
      <c r="H249" s="99"/>
    </row>
    <row r="250" spans="1:8" ht="14.25" x14ac:dyDescent="0.2">
      <c r="A250" s="103"/>
      <c r="D250" s="104"/>
      <c r="H250" s="99"/>
    </row>
    <row r="251" spans="1:8" ht="14.25" x14ac:dyDescent="0.2">
      <c r="A251" s="103"/>
      <c r="D251" s="104"/>
      <c r="H251" s="99"/>
    </row>
    <row r="252" spans="1:8" ht="14.25" x14ac:dyDescent="0.2">
      <c r="A252" s="103"/>
      <c r="D252" s="104"/>
      <c r="H252" s="99"/>
    </row>
    <row r="253" spans="1:8" ht="14.25" x14ac:dyDescent="0.2">
      <c r="A253" s="103"/>
      <c r="D253" s="104"/>
      <c r="H253" s="99"/>
    </row>
    <row r="254" spans="1:8" ht="14.25" x14ac:dyDescent="0.2">
      <c r="A254" s="103"/>
      <c r="D254" s="104"/>
      <c r="H254" s="99"/>
    </row>
    <row r="255" spans="1:8" ht="14.25" x14ac:dyDescent="0.2">
      <c r="A255" s="103"/>
      <c r="D255" s="104"/>
      <c r="H255" s="99"/>
    </row>
    <row r="256" spans="1:8" ht="14.25" x14ac:dyDescent="0.2">
      <c r="A256" s="103"/>
      <c r="D256" s="104"/>
      <c r="H256" s="99"/>
    </row>
    <row r="257" spans="1:8" ht="14.25" x14ac:dyDescent="0.2">
      <c r="A257" s="103"/>
      <c r="D257" s="104"/>
      <c r="H257" s="99"/>
    </row>
    <row r="258" spans="1:8" ht="14.25" x14ac:dyDescent="0.2">
      <c r="A258" s="103"/>
      <c r="D258" s="104"/>
      <c r="H258" s="99"/>
    </row>
    <row r="259" spans="1:8" ht="14.25" x14ac:dyDescent="0.2">
      <c r="A259" s="103"/>
      <c r="D259" s="104"/>
      <c r="H259" s="99"/>
    </row>
    <row r="260" spans="1:8" ht="14.25" x14ac:dyDescent="0.2">
      <c r="A260" s="103"/>
      <c r="D260" s="104"/>
      <c r="H260" s="99"/>
    </row>
    <row r="261" spans="1:8" ht="14.25" x14ac:dyDescent="0.2">
      <c r="A261" s="103"/>
      <c r="D261" s="104"/>
      <c r="H261" s="99"/>
    </row>
    <row r="262" spans="1:8" ht="14.25" x14ac:dyDescent="0.2">
      <c r="A262" s="103"/>
      <c r="D262" s="104"/>
      <c r="H262" s="99"/>
    </row>
    <row r="263" spans="1:8" ht="14.25" x14ac:dyDescent="0.2">
      <c r="A263" s="103"/>
      <c r="D263" s="104"/>
      <c r="H263" s="99"/>
    </row>
    <row r="264" spans="1:8" ht="14.25" x14ac:dyDescent="0.2">
      <c r="A264" s="103"/>
      <c r="D264" s="104"/>
      <c r="H264" s="99"/>
    </row>
    <row r="265" spans="1:8" ht="14.25" x14ac:dyDescent="0.2">
      <c r="A265" s="103"/>
      <c r="D265" s="104"/>
      <c r="H265" s="99"/>
    </row>
    <row r="266" spans="1:8" ht="14.25" x14ac:dyDescent="0.2">
      <c r="A266" s="103"/>
      <c r="D266" s="104"/>
      <c r="H266" s="99"/>
    </row>
    <row r="267" spans="1:8" ht="14.25" x14ac:dyDescent="0.2">
      <c r="A267" s="103"/>
      <c r="D267" s="104"/>
      <c r="H267" s="99"/>
    </row>
    <row r="268" spans="1:8" ht="14.25" x14ac:dyDescent="0.2">
      <c r="A268" s="103"/>
      <c r="D268" s="104"/>
      <c r="H268" s="99"/>
    </row>
    <row r="269" spans="1:8" ht="14.25" x14ac:dyDescent="0.2">
      <c r="A269" s="103"/>
      <c r="D269" s="104"/>
      <c r="H269" s="99"/>
    </row>
    <row r="270" spans="1:8" ht="14.25" x14ac:dyDescent="0.2">
      <c r="A270" s="103"/>
      <c r="D270" s="104"/>
      <c r="H270" s="99"/>
    </row>
    <row r="271" spans="1:8" ht="14.25" x14ac:dyDescent="0.2">
      <c r="A271" s="103"/>
      <c r="D271" s="104"/>
      <c r="H271" s="99"/>
    </row>
    <row r="272" spans="1:8" ht="14.25" x14ac:dyDescent="0.2">
      <c r="A272" s="103"/>
      <c r="D272" s="104"/>
      <c r="H272" s="99"/>
    </row>
    <row r="273" spans="1:8" ht="14.25" x14ac:dyDescent="0.2">
      <c r="A273" s="103"/>
      <c r="D273" s="104"/>
      <c r="H273" s="99"/>
    </row>
    <row r="274" spans="1:8" ht="14.25" x14ac:dyDescent="0.2">
      <c r="A274" s="103"/>
      <c r="D274" s="104"/>
      <c r="H274" s="99"/>
    </row>
    <row r="275" spans="1:8" ht="14.25" x14ac:dyDescent="0.2">
      <c r="A275" s="103"/>
      <c r="D275" s="104"/>
      <c r="H275" s="99"/>
    </row>
    <row r="276" spans="1:8" ht="14.25" x14ac:dyDescent="0.2">
      <c r="A276" s="103"/>
      <c r="D276" s="104"/>
      <c r="H276" s="99"/>
    </row>
    <row r="277" spans="1:8" ht="14.25" x14ac:dyDescent="0.2">
      <c r="A277" s="103"/>
      <c r="D277" s="104"/>
      <c r="H277" s="99"/>
    </row>
    <row r="278" spans="1:8" ht="14.25" x14ac:dyDescent="0.2">
      <c r="A278" s="103"/>
      <c r="D278" s="104"/>
      <c r="H278" s="99"/>
    </row>
    <row r="279" spans="1:8" ht="14.25" x14ac:dyDescent="0.2">
      <c r="A279" s="103"/>
      <c r="D279" s="104"/>
      <c r="H279" s="99"/>
    </row>
    <row r="280" spans="1:8" ht="14.25" x14ac:dyDescent="0.2">
      <c r="A280" s="103"/>
      <c r="D280" s="104"/>
      <c r="H280" s="99"/>
    </row>
    <row r="281" spans="1:8" ht="14.25" x14ac:dyDescent="0.2">
      <c r="A281" s="103"/>
      <c r="D281" s="104"/>
      <c r="H281" s="99"/>
    </row>
    <row r="282" spans="1:8" ht="14.25" x14ac:dyDescent="0.2">
      <c r="A282" s="103"/>
      <c r="D282" s="104"/>
      <c r="H282" s="99"/>
    </row>
    <row r="283" spans="1:8" ht="14.25" x14ac:dyDescent="0.2">
      <c r="A283" s="103"/>
      <c r="D283" s="104"/>
      <c r="H283" s="99"/>
    </row>
    <row r="284" spans="1:8" ht="14.25" x14ac:dyDescent="0.2">
      <c r="A284" s="103"/>
      <c r="D284" s="104"/>
      <c r="H284" s="99"/>
    </row>
    <row r="285" spans="1:8" ht="14.25" x14ac:dyDescent="0.2">
      <c r="A285" s="103"/>
      <c r="D285" s="104"/>
      <c r="H285" s="99"/>
    </row>
    <row r="286" spans="1:8" ht="14.25" x14ac:dyDescent="0.2">
      <c r="A286" s="103"/>
      <c r="D286" s="104"/>
      <c r="H286" s="99"/>
    </row>
    <row r="287" spans="1:8" ht="14.25" x14ac:dyDescent="0.2">
      <c r="A287" s="103"/>
      <c r="D287" s="104"/>
      <c r="H287" s="99"/>
    </row>
    <row r="288" spans="1:8" ht="14.25" x14ac:dyDescent="0.2">
      <c r="A288" s="103"/>
      <c r="D288" s="104"/>
      <c r="H288" s="99"/>
    </row>
    <row r="289" spans="1:8" ht="14.25" x14ac:dyDescent="0.2">
      <c r="A289" s="103"/>
      <c r="D289" s="104"/>
      <c r="H289" s="99"/>
    </row>
    <row r="290" spans="1:8" ht="14.25" x14ac:dyDescent="0.2">
      <c r="A290" s="103"/>
      <c r="D290" s="104"/>
      <c r="H290" s="99"/>
    </row>
    <row r="291" spans="1:8" ht="14.25" x14ac:dyDescent="0.2">
      <c r="A291" s="103"/>
      <c r="D291" s="104"/>
      <c r="H291" s="99"/>
    </row>
    <row r="292" spans="1:8" ht="14.25" x14ac:dyDescent="0.2">
      <c r="A292" s="103"/>
      <c r="D292" s="104"/>
      <c r="H292" s="99"/>
    </row>
    <row r="293" spans="1:8" ht="14.25" x14ac:dyDescent="0.2">
      <c r="A293" s="103"/>
      <c r="D293" s="104"/>
      <c r="H293" s="99"/>
    </row>
    <row r="294" spans="1:8" ht="14.25" x14ac:dyDescent="0.2">
      <c r="A294" s="103"/>
      <c r="D294" s="104"/>
      <c r="H294" s="99"/>
    </row>
    <row r="295" spans="1:8" ht="14.25" x14ac:dyDescent="0.2">
      <c r="A295" s="103"/>
      <c r="D295" s="104"/>
      <c r="H295" s="99"/>
    </row>
    <row r="296" spans="1:8" ht="14.25" x14ac:dyDescent="0.2">
      <c r="A296" s="103"/>
      <c r="D296" s="104"/>
      <c r="H296" s="99"/>
    </row>
    <row r="297" spans="1:8" ht="14.25" x14ac:dyDescent="0.2">
      <c r="A297" s="103"/>
      <c r="D297" s="104"/>
      <c r="H297" s="99"/>
    </row>
    <row r="298" spans="1:8" ht="14.25" x14ac:dyDescent="0.2">
      <c r="A298" s="103"/>
      <c r="D298" s="104"/>
      <c r="H298" s="99"/>
    </row>
    <row r="299" spans="1:8" ht="14.25" x14ac:dyDescent="0.2">
      <c r="A299" s="103"/>
      <c r="D299" s="104"/>
      <c r="H299" s="99"/>
    </row>
    <row r="300" spans="1:8" ht="14.25" x14ac:dyDescent="0.2">
      <c r="A300" s="103"/>
      <c r="D300" s="104"/>
      <c r="H300" s="99"/>
    </row>
    <row r="301" spans="1:8" ht="14.25" x14ac:dyDescent="0.2">
      <c r="A301" s="103"/>
      <c r="D301" s="104"/>
      <c r="H301" s="99"/>
    </row>
    <row r="302" spans="1:8" ht="14.25" x14ac:dyDescent="0.2">
      <c r="A302" s="103"/>
      <c r="D302" s="104"/>
      <c r="H302" s="99"/>
    </row>
    <row r="303" spans="1:8" ht="14.25" x14ac:dyDescent="0.2">
      <c r="A303" s="103"/>
      <c r="D303" s="104"/>
      <c r="H303" s="99"/>
    </row>
    <row r="304" spans="1:8" ht="14.25" x14ac:dyDescent="0.2">
      <c r="A304" s="103"/>
      <c r="D304" s="104"/>
      <c r="H304" s="99"/>
    </row>
    <row r="305" spans="1:8" ht="14.25" x14ac:dyDescent="0.2">
      <c r="A305" s="103"/>
      <c r="D305" s="104"/>
      <c r="H305" s="99"/>
    </row>
    <row r="306" spans="1:8" ht="14.25" x14ac:dyDescent="0.2">
      <c r="A306" s="103"/>
      <c r="D306" s="104"/>
      <c r="H306" s="99"/>
    </row>
    <row r="307" spans="1:8" ht="14.25" x14ac:dyDescent="0.2">
      <c r="A307" s="103"/>
      <c r="D307" s="104"/>
      <c r="H307" s="99"/>
    </row>
    <row r="308" spans="1:8" ht="14.25" x14ac:dyDescent="0.2">
      <c r="A308" s="103"/>
      <c r="D308" s="104"/>
      <c r="H308" s="99"/>
    </row>
    <row r="309" spans="1:8" ht="14.25" x14ac:dyDescent="0.2">
      <c r="A309" s="103"/>
      <c r="D309" s="104"/>
      <c r="H309" s="99"/>
    </row>
    <row r="310" spans="1:8" ht="14.25" x14ac:dyDescent="0.2">
      <c r="A310" s="103"/>
      <c r="D310" s="104"/>
      <c r="H310" s="99"/>
    </row>
    <row r="311" spans="1:8" ht="14.25" x14ac:dyDescent="0.2">
      <c r="A311" s="103"/>
      <c r="D311" s="104"/>
      <c r="H311" s="99"/>
    </row>
    <row r="312" spans="1:8" ht="14.25" x14ac:dyDescent="0.2">
      <c r="A312" s="103"/>
      <c r="D312" s="104"/>
      <c r="H312" s="99"/>
    </row>
    <row r="313" spans="1:8" ht="14.25" x14ac:dyDescent="0.2">
      <c r="A313" s="103"/>
      <c r="D313" s="104"/>
      <c r="H313" s="99"/>
    </row>
    <row r="314" spans="1:8" ht="14.25" x14ac:dyDescent="0.2">
      <c r="A314" s="103"/>
      <c r="D314" s="104"/>
      <c r="H314" s="99"/>
    </row>
    <row r="315" spans="1:8" ht="14.25" x14ac:dyDescent="0.2">
      <c r="A315" s="103"/>
      <c r="D315" s="104"/>
      <c r="H315" s="99"/>
    </row>
    <row r="316" spans="1:8" ht="14.25" x14ac:dyDescent="0.2">
      <c r="A316" s="103"/>
      <c r="D316" s="104"/>
      <c r="H316" s="99"/>
    </row>
    <row r="317" spans="1:8" ht="14.25" x14ac:dyDescent="0.2">
      <c r="A317" s="103"/>
      <c r="D317" s="104"/>
      <c r="H317" s="99"/>
    </row>
    <row r="318" spans="1:8" ht="14.25" x14ac:dyDescent="0.2">
      <c r="A318" s="103"/>
      <c r="D318" s="104"/>
      <c r="H318" s="99"/>
    </row>
    <row r="319" spans="1:8" ht="14.25" x14ac:dyDescent="0.2">
      <c r="A319" s="103"/>
      <c r="D319" s="104"/>
      <c r="H319" s="99"/>
    </row>
    <row r="320" spans="1:8" ht="14.25" x14ac:dyDescent="0.2">
      <c r="A320" s="103"/>
      <c r="D320" s="104"/>
      <c r="H320" s="99"/>
    </row>
    <row r="321" spans="1:8" ht="14.25" x14ac:dyDescent="0.2">
      <c r="A321" s="103"/>
      <c r="D321" s="104"/>
      <c r="H321" s="99"/>
    </row>
    <row r="322" spans="1:8" ht="14.25" x14ac:dyDescent="0.2">
      <c r="A322" s="103"/>
      <c r="D322" s="104"/>
      <c r="H322" s="99"/>
    </row>
    <row r="323" spans="1:8" ht="14.25" x14ac:dyDescent="0.2">
      <c r="A323" s="103"/>
      <c r="D323" s="104"/>
      <c r="H323" s="99"/>
    </row>
    <row r="324" spans="1:8" ht="14.25" x14ac:dyDescent="0.2">
      <c r="A324" s="103"/>
      <c r="D324" s="104"/>
      <c r="H324" s="99"/>
    </row>
    <row r="325" spans="1:8" ht="14.25" x14ac:dyDescent="0.2">
      <c r="A325" s="103"/>
      <c r="D325" s="104"/>
      <c r="H325" s="99"/>
    </row>
    <row r="326" spans="1:8" ht="14.25" x14ac:dyDescent="0.2">
      <c r="A326" s="103"/>
      <c r="D326" s="104"/>
      <c r="H326" s="99"/>
    </row>
    <row r="327" spans="1:8" ht="14.25" x14ac:dyDescent="0.2">
      <c r="A327" s="103"/>
      <c r="D327" s="104"/>
      <c r="H327" s="99"/>
    </row>
    <row r="328" spans="1:8" ht="14.25" x14ac:dyDescent="0.2">
      <c r="A328" s="103"/>
      <c r="D328" s="104"/>
      <c r="H328" s="99"/>
    </row>
    <row r="329" spans="1:8" ht="14.25" x14ac:dyDescent="0.2">
      <c r="A329" s="103"/>
      <c r="D329" s="104"/>
      <c r="H329" s="99"/>
    </row>
    <row r="330" spans="1:8" ht="14.25" x14ac:dyDescent="0.2">
      <c r="A330" s="103"/>
      <c r="D330" s="104"/>
      <c r="H330" s="99"/>
    </row>
    <row r="331" spans="1:8" ht="14.25" x14ac:dyDescent="0.2">
      <c r="A331" s="103"/>
      <c r="D331" s="104"/>
      <c r="H331" s="99"/>
    </row>
    <row r="332" spans="1:8" ht="14.25" x14ac:dyDescent="0.2">
      <c r="A332" s="103"/>
      <c r="D332" s="104"/>
      <c r="H332" s="99"/>
    </row>
    <row r="333" spans="1:8" ht="14.25" x14ac:dyDescent="0.2">
      <c r="A333" s="103"/>
      <c r="D333" s="104"/>
      <c r="H333" s="99"/>
    </row>
    <row r="334" spans="1:8" ht="14.25" x14ac:dyDescent="0.2">
      <c r="A334" s="103"/>
      <c r="D334" s="104"/>
      <c r="H334" s="99"/>
    </row>
    <row r="335" spans="1:8" ht="14.25" x14ac:dyDescent="0.2">
      <c r="A335" s="103"/>
      <c r="D335" s="104"/>
      <c r="H335" s="99"/>
    </row>
    <row r="336" spans="1:8" ht="14.25" x14ac:dyDescent="0.2">
      <c r="A336" s="103"/>
      <c r="D336" s="104"/>
      <c r="H336" s="99"/>
    </row>
    <row r="337" spans="1:8" ht="14.25" x14ac:dyDescent="0.2">
      <c r="A337" s="103"/>
      <c r="D337" s="104"/>
      <c r="H337" s="99"/>
    </row>
    <row r="338" spans="1:8" ht="14.25" x14ac:dyDescent="0.2">
      <c r="A338" s="103"/>
      <c r="D338" s="104"/>
      <c r="H338" s="99"/>
    </row>
    <row r="339" spans="1:8" ht="14.25" x14ac:dyDescent="0.2">
      <c r="A339" s="103"/>
      <c r="D339" s="104"/>
      <c r="H339" s="99"/>
    </row>
    <row r="340" spans="1:8" ht="14.25" x14ac:dyDescent="0.2">
      <c r="A340" s="103"/>
      <c r="D340" s="104"/>
      <c r="H340" s="99"/>
    </row>
    <row r="341" spans="1:8" ht="14.25" x14ac:dyDescent="0.2">
      <c r="A341" s="103"/>
      <c r="D341" s="104"/>
      <c r="H341" s="99"/>
    </row>
    <row r="342" spans="1:8" ht="14.25" x14ac:dyDescent="0.2">
      <c r="A342" s="103"/>
      <c r="D342" s="104"/>
      <c r="H342" s="99"/>
    </row>
    <row r="343" spans="1:8" ht="14.25" x14ac:dyDescent="0.2">
      <c r="A343" s="103"/>
      <c r="D343" s="104"/>
      <c r="H343" s="99"/>
    </row>
    <row r="344" spans="1:8" ht="14.25" x14ac:dyDescent="0.2">
      <c r="A344" s="103"/>
      <c r="D344" s="104"/>
      <c r="H344" s="99"/>
    </row>
    <row r="345" spans="1:8" ht="14.25" x14ac:dyDescent="0.2">
      <c r="A345" s="103"/>
      <c r="D345" s="104"/>
      <c r="H345" s="99"/>
    </row>
    <row r="346" spans="1:8" ht="14.25" x14ac:dyDescent="0.2">
      <c r="A346" s="103"/>
      <c r="D346" s="104"/>
      <c r="H346" s="99"/>
    </row>
    <row r="347" spans="1:8" ht="14.25" x14ac:dyDescent="0.2">
      <c r="A347" s="103"/>
      <c r="D347" s="104"/>
      <c r="H347" s="99"/>
    </row>
    <row r="348" spans="1:8" ht="14.25" x14ac:dyDescent="0.2">
      <c r="A348" s="103"/>
      <c r="D348" s="104"/>
      <c r="H348" s="99"/>
    </row>
    <row r="349" spans="1:8" ht="14.25" x14ac:dyDescent="0.2">
      <c r="A349" s="103"/>
      <c r="D349" s="104"/>
      <c r="H349" s="99"/>
    </row>
    <row r="350" spans="1:8" ht="14.25" x14ac:dyDescent="0.2">
      <c r="A350" s="103"/>
      <c r="D350" s="104"/>
      <c r="H350" s="99"/>
    </row>
    <row r="351" spans="1:8" ht="14.25" x14ac:dyDescent="0.2">
      <c r="A351" s="103"/>
      <c r="D351" s="104"/>
      <c r="H351" s="99"/>
    </row>
    <row r="352" spans="1:8" ht="14.25" x14ac:dyDescent="0.2">
      <c r="A352" s="103"/>
      <c r="D352" s="104"/>
      <c r="H352" s="99"/>
    </row>
    <row r="353" spans="1:8" ht="14.25" x14ac:dyDescent="0.2">
      <c r="A353" s="103"/>
      <c r="D353" s="104"/>
      <c r="H353" s="99"/>
    </row>
    <row r="354" spans="1:8" ht="14.25" x14ac:dyDescent="0.2">
      <c r="A354" s="103"/>
      <c r="D354" s="104"/>
      <c r="H354" s="99"/>
    </row>
    <row r="355" spans="1:8" ht="14.25" x14ac:dyDescent="0.2">
      <c r="A355" s="103"/>
      <c r="D355" s="104"/>
      <c r="H355" s="99"/>
    </row>
    <row r="356" spans="1:8" ht="14.25" x14ac:dyDescent="0.2">
      <c r="A356" s="103"/>
      <c r="D356" s="104"/>
      <c r="H356" s="99"/>
    </row>
    <row r="357" spans="1:8" ht="14.25" x14ac:dyDescent="0.2">
      <c r="A357" s="103"/>
      <c r="D357" s="104"/>
      <c r="H357" s="99"/>
    </row>
    <row r="358" spans="1:8" ht="14.25" x14ac:dyDescent="0.2">
      <c r="A358" s="103"/>
      <c r="D358" s="104"/>
      <c r="H358" s="99"/>
    </row>
    <row r="359" spans="1:8" ht="14.25" x14ac:dyDescent="0.2">
      <c r="A359" s="103"/>
      <c r="D359" s="104"/>
      <c r="H359" s="99"/>
    </row>
    <row r="360" spans="1:8" ht="14.25" x14ac:dyDescent="0.2">
      <c r="A360" s="103"/>
      <c r="D360" s="104"/>
      <c r="H360" s="99"/>
    </row>
    <row r="361" spans="1:8" ht="14.25" x14ac:dyDescent="0.2">
      <c r="A361" s="103"/>
      <c r="D361" s="104"/>
      <c r="H361" s="99"/>
    </row>
    <row r="362" spans="1:8" ht="14.25" x14ac:dyDescent="0.2">
      <c r="A362" s="103"/>
      <c r="D362" s="104"/>
      <c r="H362" s="99"/>
    </row>
    <row r="363" spans="1:8" ht="14.25" x14ac:dyDescent="0.2">
      <c r="A363" s="103"/>
      <c r="D363" s="104"/>
      <c r="H363" s="99"/>
    </row>
    <row r="364" spans="1:8" ht="14.25" x14ac:dyDescent="0.2">
      <c r="A364" s="103"/>
      <c r="D364" s="104"/>
      <c r="H364" s="99"/>
    </row>
    <row r="365" spans="1:8" ht="14.25" x14ac:dyDescent="0.2">
      <c r="A365" s="103"/>
      <c r="D365" s="104"/>
      <c r="H365" s="99"/>
    </row>
    <row r="366" spans="1:8" ht="14.25" x14ac:dyDescent="0.2">
      <c r="A366" s="103"/>
      <c r="D366" s="104"/>
      <c r="H366" s="99"/>
    </row>
    <row r="367" spans="1:8" ht="14.25" x14ac:dyDescent="0.2">
      <c r="A367" s="103"/>
      <c r="D367" s="104"/>
      <c r="H367" s="99"/>
    </row>
    <row r="368" spans="1:8" ht="14.25" x14ac:dyDescent="0.2">
      <c r="A368" s="103"/>
      <c r="D368" s="104"/>
      <c r="H368" s="99"/>
    </row>
    <row r="369" spans="1:8" ht="14.25" x14ac:dyDescent="0.2">
      <c r="A369" s="103"/>
      <c r="D369" s="104"/>
      <c r="H369" s="99"/>
    </row>
    <row r="370" spans="1:8" ht="14.25" x14ac:dyDescent="0.2">
      <c r="A370" s="103"/>
      <c r="D370" s="104"/>
      <c r="H370" s="99"/>
    </row>
    <row r="371" spans="1:8" ht="14.25" x14ac:dyDescent="0.2">
      <c r="A371" s="103"/>
      <c r="D371" s="104"/>
      <c r="H371" s="99"/>
    </row>
    <row r="372" spans="1:8" ht="14.25" x14ac:dyDescent="0.2">
      <c r="A372" s="103"/>
      <c r="D372" s="104"/>
      <c r="H372" s="99"/>
    </row>
    <row r="373" spans="1:8" ht="14.25" x14ac:dyDescent="0.2">
      <c r="A373" s="103"/>
      <c r="D373" s="104"/>
      <c r="H373" s="99"/>
    </row>
    <row r="374" spans="1:8" ht="14.25" x14ac:dyDescent="0.2">
      <c r="A374" s="103"/>
      <c r="D374" s="104"/>
      <c r="H374" s="99"/>
    </row>
    <row r="375" spans="1:8" ht="14.25" x14ac:dyDescent="0.2">
      <c r="A375" s="103"/>
      <c r="D375" s="104"/>
      <c r="H375" s="99"/>
    </row>
    <row r="376" spans="1:8" ht="14.25" x14ac:dyDescent="0.2">
      <c r="A376" s="103"/>
      <c r="D376" s="104"/>
      <c r="H376" s="99"/>
    </row>
    <row r="377" spans="1:8" ht="14.25" x14ac:dyDescent="0.2">
      <c r="A377" s="103"/>
      <c r="D377" s="104"/>
      <c r="H377" s="99"/>
    </row>
    <row r="378" spans="1:8" ht="14.25" x14ac:dyDescent="0.2">
      <c r="A378" s="103"/>
      <c r="D378" s="104"/>
      <c r="H378" s="99"/>
    </row>
    <row r="379" spans="1:8" ht="14.25" x14ac:dyDescent="0.2">
      <c r="A379" s="103"/>
      <c r="D379" s="104"/>
      <c r="H379" s="99"/>
    </row>
    <row r="380" spans="1:8" ht="14.25" x14ac:dyDescent="0.2">
      <c r="A380" s="103"/>
      <c r="D380" s="104"/>
      <c r="H380" s="99"/>
    </row>
    <row r="381" spans="1:8" ht="14.25" x14ac:dyDescent="0.2">
      <c r="A381" s="103"/>
      <c r="D381" s="104"/>
      <c r="H381" s="99"/>
    </row>
    <row r="382" spans="1:8" ht="14.25" x14ac:dyDescent="0.2">
      <c r="A382" s="103"/>
      <c r="D382" s="104"/>
      <c r="H382" s="99"/>
    </row>
    <row r="383" spans="1:8" ht="14.25" x14ac:dyDescent="0.2">
      <c r="A383" s="103"/>
      <c r="D383" s="104"/>
      <c r="H383" s="99"/>
    </row>
    <row r="384" spans="1:8" ht="14.25" x14ac:dyDescent="0.2">
      <c r="A384" s="103"/>
      <c r="D384" s="104"/>
      <c r="H384" s="99"/>
    </row>
    <row r="385" spans="1:8" ht="14.25" x14ac:dyDescent="0.2">
      <c r="A385" s="103"/>
      <c r="D385" s="104"/>
      <c r="H385" s="99"/>
    </row>
    <row r="386" spans="1:8" ht="14.25" x14ac:dyDescent="0.2">
      <c r="A386" s="103"/>
      <c r="D386" s="104"/>
      <c r="H386" s="99"/>
    </row>
    <row r="387" spans="1:8" ht="14.25" x14ac:dyDescent="0.2">
      <c r="A387" s="103"/>
      <c r="D387" s="104"/>
      <c r="H387" s="99"/>
    </row>
    <row r="388" spans="1:8" ht="14.25" x14ac:dyDescent="0.2">
      <c r="A388" s="103"/>
      <c r="D388" s="104"/>
      <c r="H388" s="99"/>
    </row>
    <row r="389" spans="1:8" ht="14.25" x14ac:dyDescent="0.2">
      <c r="A389" s="103"/>
      <c r="D389" s="104"/>
      <c r="H389" s="99"/>
    </row>
    <row r="390" spans="1:8" ht="14.25" x14ac:dyDescent="0.2">
      <c r="A390" s="103"/>
      <c r="D390" s="104"/>
      <c r="H390" s="99"/>
    </row>
    <row r="391" spans="1:8" ht="14.25" x14ac:dyDescent="0.2">
      <c r="A391" s="103"/>
      <c r="D391" s="104"/>
      <c r="H391" s="99"/>
    </row>
    <row r="392" spans="1:8" ht="14.25" x14ac:dyDescent="0.2">
      <c r="A392" s="103"/>
      <c r="D392" s="104"/>
      <c r="H392" s="99"/>
    </row>
    <row r="393" spans="1:8" ht="14.25" x14ac:dyDescent="0.2">
      <c r="A393" s="103"/>
      <c r="D393" s="104"/>
      <c r="H393" s="99"/>
    </row>
    <row r="394" spans="1:8" ht="14.25" x14ac:dyDescent="0.2">
      <c r="A394" s="103"/>
      <c r="D394" s="104"/>
      <c r="H394" s="99"/>
    </row>
    <row r="395" spans="1:8" ht="14.25" x14ac:dyDescent="0.2">
      <c r="A395" s="103"/>
      <c r="D395" s="104"/>
      <c r="H395" s="99"/>
    </row>
    <row r="396" spans="1:8" ht="14.25" x14ac:dyDescent="0.2">
      <c r="A396" s="103"/>
      <c r="D396" s="104"/>
      <c r="H396" s="99"/>
    </row>
    <row r="397" spans="1:8" ht="14.25" x14ac:dyDescent="0.2">
      <c r="A397" s="103"/>
      <c r="D397" s="104"/>
      <c r="H397" s="99"/>
    </row>
    <row r="398" spans="1:8" ht="14.25" x14ac:dyDescent="0.2">
      <c r="A398" s="103"/>
      <c r="D398" s="104"/>
      <c r="H398" s="99"/>
    </row>
    <row r="399" spans="1:8" ht="14.25" x14ac:dyDescent="0.2">
      <c r="A399" s="103"/>
      <c r="D399" s="104"/>
      <c r="H399" s="99"/>
    </row>
    <row r="400" spans="1:8" ht="14.25" x14ac:dyDescent="0.2">
      <c r="A400" s="103"/>
      <c r="D400" s="104"/>
      <c r="H400" s="99"/>
    </row>
    <row r="401" spans="1:8" ht="14.25" x14ac:dyDescent="0.2">
      <c r="A401" s="103"/>
      <c r="D401" s="104"/>
      <c r="H401" s="99"/>
    </row>
    <row r="402" spans="1:8" ht="14.25" x14ac:dyDescent="0.2">
      <c r="A402" s="103"/>
      <c r="D402" s="104"/>
      <c r="H402" s="99"/>
    </row>
    <row r="403" spans="1:8" ht="14.25" x14ac:dyDescent="0.2">
      <c r="A403" s="103"/>
      <c r="D403" s="104"/>
      <c r="H403" s="99"/>
    </row>
    <row r="404" spans="1:8" ht="14.25" x14ac:dyDescent="0.2">
      <c r="A404" s="103"/>
      <c r="D404" s="104"/>
      <c r="H404" s="99"/>
    </row>
    <row r="405" spans="1:8" ht="14.25" x14ac:dyDescent="0.2">
      <c r="A405" s="103"/>
      <c r="D405" s="104"/>
      <c r="H405" s="99"/>
    </row>
    <row r="406" spans="1:8" ht="14.25" x14ac:dyDescent="0.2">
      <c r="A406" s="103"/>
      <c r="D406" s="104"/>
      <c r="H406" s="99"/>
    </row>
    <row r="407" spans="1:8" ht="14.25" x14ac:dyDescent="0.2">
      <c r="A407" s="103"/>
      <c r="D407" s="104"/>
      <c r="H407" s="99"/>
    </row>
    <row r="408" spans="1:8" ht="14.25" x14ac:dyDescent="0.2">
      <c r="A408" s="103"/>
      <c r="D408" s="104"/>
      <c r="H408" s="99"/>
    </row>
    <row r="409" spans="1:8" ht="14.25" x14ac:dyDescent="0.2">
      <c r="A409" s="103"/>
      <c r="D409" s="104"/>
      <c r="H409" s="99"/>
    </row>
    <row r="410" spans="1:8" ht="14.25" x14ac:dyDescent="0.2">
      <c r="A410" s="103"/>
      <c r="D410" s="104"/>
      <c r="H410" s="99"/>
    </row>
    <row r="411" spans="1:8" ht="14.25" x14ac:dyDescent="0.2">
      <c r="A411" s="103"/>
      <c r="D411" s="104"/>
      <c r="H411" s="99"/>
    </row>
    <row r="412" spans="1:8" ht="14.25" x14ac:dyDescent="0.2">
      <c r="A412" s="103"/>
      <c r="D412" s="104"/>
      <c r="H412" s="99"/>
    </row>
    <row r="413" spans="1:8" ht="14.25" x14ac:dyDescent="0.2">
      <c r="A413" s="103"/>
      <c r="D413" s="104"/>
      <c r="H413" s="99"/>
    </row>
    <row r="414" spans="1:8" ht="14.25" x14ac:dyDescent="0.2">
      <c r="A414" s="103"/>
      <c r="D414" s="104"/>
      <c r="H414" s="99"/>
    </row>
    <row r="415" spans="1:8" ht="14.25" x14ac:dyDescent="0.2">
      <c r="A415" s="103"/>
      <c r="D415" s="104"/>
      <c r="H415" s="99"/>
    </row>
    <row r="416" spans="1:8" ht="14.25" x14ac:dyDescent="0.2">
      <c r="A416" s="103"/>
      <c r="D416" s="104"/>
      <c r="H416" s="99"/>
    </row>
    <row r="417" spans="1:8" ht="14.25" x14ac:dyDescent="0.2">
      <c r="A417" s="103"/>
      <c r="D417" s="104"/>
      <c r="H417" s="99"/>
    </row>
    <row r="418" spans="1:8" ht="14.25" x14ac:dyDescent="0.2">
      <c r="A418" s="103"/>
      <c r="D418" s="104"/>
      <c r="H418" s="99"/>
    </row>
    <row r="419" spans="1:8" ht="14.25" x14ac:dyDescent="0.2">
      <c r="A419" s="103"/>
      <c r="D419" s="104"/>
      <c r="H419" s="99"/>
    </row>
    <row r="420" spans="1:8" ht="14.25" x14ac:dyDescent="0.2">
      <c r="A420" s="103"/>
      <c r="D420" s="104"/>
      <c r="H420" s="99"/>
    </row>
    <row r="421" spans="1:8" ht="14.25" x14ac:dyDescent="0.2">
      <c r="A421" s="103"/>
      <c r="D421" s="104"/>
      <c r="H421" s="99"/>
    </row>
    <row r="422" spans="1:8" ht="14.25" x14ac:dyDescent="0.2">
      <c r="A422" s="103"/>
      <c r="D422" s="104"/>
      <c r="H422" s="99"/>
    </row>
    <row r="423" spans="1:8" ht="14.25" x14ac:dyDescent="0.2">
      <c r="A423" s="103"/>
      <c r="D423" s="104"/>
      <c r="H423" s="99"/>
    </row>
    <row r="424" spans="1:8" ht="14.25" x14ac:dyDescent="0.2">
      <c r="A424" s="103"/>
      <c r="D424" s="104"/>
      <c r="H424" s="99"/>
    </row>
    <row r="425" spans="1:8" ht="14.25" x14ac:dyDescent="0.2">
      <c r="A425" s="103"/>
      <c r="D425" s="104"/>
      <c r="H425" s="99"/>
    </row>
    <row r="426" spans="1:8" ht="14.25" x14ac:dyDescent="0.2">
      <c r="A426" s="103"/>
      <c r="D426" s="104"/>
      <c r="H426" s="99"/>
    </row>
    <row r="427" spans="1:8" ht="14.25" x14ac:dyDescent="0.2">
      <c r="A427" s="103"/>
      <c r="D427" s="104"/>
      <c r="H427" s="99"/>
    </row>
    <row r="428" spans="1:8" ht="14.25" x14ac:dyDescent="0.2">
      <c r="A428" s="103"/>
      <c r="D428" s="104"/>
      <c r="H428" s="99"/>
    </row>
    <row r="429" spans="1:8" ht="14.25" x14ac:dyDescent="0.2">
      <c r="A429" s="103"/>
      <c r="D429" s="104"/>
      <c r="H429" s="99"/>
    </row>
    <row r="430" spans="1:8" ht="14.25" x14ac:dyDescent="0.2">
      <c r="A430" s="103"/>
      <c r="D430" s="104"/>
      <c r="H430" s="99"/>
    </row>
    <row r="431" spans="1:8" ht="14.25" x14ac:dyDescent="0.2">
      <c r="A431" s="103"/>
      <c r="D431" s="104"/>
      <c r="H431" s="99"/>
    </row>
    <row r="432" spans="1:8" ht="14.25" x14ac:dyDescent="0.2">
      <c r="A432" s="103"/>
      <c r="D432" s="104"/>
      <c r="H432" s="99"/>
    </row>
    <row r="433" spans="1:8" ht="14.25" x14ac:dyDescent="0.2">
      <c r="A433" s="103"/>
      <c r="D433" s="104"/>
      <c r="H433" s="99"/>
    </row>
    <row r="434" spans="1:8" ht="14.25" x14ac:dyDescent="0.2">
      <c r="A434" s="103"/>
      <c r="D434" s="104"/>
      <c r="H434" s="99"/>
    </row>
    <row r="435" spans="1:8" ht="14.25" x14ac:dyDescent="0.2">
      <c r="A435" s="103"/>
      <c r="D435" s="104"/>
      <c r="H435" s="99"/>
    </row>
    <row r="436" spans="1:8" ht="14.25" x14ac:dyDescent="0.2">
      <c r="A436" s="103"/>
      <c r="D436" s="104"/>
      <c r="H436" s="99"/>
    </row>
    <row r="437" spans="1:8" ht="14.25" x14ac:dyDescent="0.2">
      <c r="A437" s="103"/>
      <c r="D437" s="104"/>
      <c r="H437" s="99"/>
    </row>
    <row r="438" spans="1:8" ht="14.25" x14ac:dyDescent="0.2">
      <c r="A438" s="103"/>
      <c r="D438" s="104"/>
      <c r="H438" s="99"/>
    </row>
    <row r="439" spans="1:8" ht="14.25" x14ac:dyDescent="0.2">
      <c r="A439" s="103"/>
      <c r="D439" s="104"/>
      <c r="H439" s="99"/>
    </row>
    <row r="440" spans="1:8" ht="14.25" x14ac:dyDescent="0.2">
      <c r="A440" s="103"/>
      <c r="D440" s="104"/>
      <c r="H440" s="99"/>
    </row>
    <row r="441" spans="1:8" ht="14.25" x14ac:dyDescent="0.2">
      <c r="A441" s="103"/>
      <c r="D441" s="104"/>
      <c r="H441" s="99"/>
    </row>
    <row r="442" spans="1:8" ht="14.25" x14ac:dyDescent="0.2">
      <c r="A442" s="103"/>
      <c r="D442" s="104"/>
      <c r="H442" s="99"/>
    </row>
    <row r="443" spans="1:8" ht="14.25" x14ac:dyDescent="0.2">
      <c r="A443" s="103"/>
      <c r="D443" s="104"/>
      <c r="H443" s="99"/>
    </row>
    <row r="444" spans="1:8" ht="14.25" x14ac:dyDescent="0.2">
      <c r="A444" s="103"/>
      <c r="D444" s="104"/>
      <c r="H444" s="99"/>
    </row>
    <row r="445" spans="1:8" ht="14.25" x14ac:dyDescent="0.2">
      <c r="A445" s="103"/>
      <c r="D445" s="104"/>
      <c r="H445" s="99"/>
    </row>
    <row r="446" spans="1:8" ht="14.25" x14ac:dyDescent="0.2">
      <c r="A446" s="103"/>
      <c r="D446" s="104"/>
      <c r="H446" s="99"/>
    </row>
    <row r="447" spans="1:8" ht="14.25" x14ac:dyDescent="0.2">
      <c r="A447" s="103"/>
      <c r="D447" s="104"/>
      <c r="H447" s="99"/>
    </row>
    <row r="448" spans="1:8" ht="14.25" x14ac:dyDescent="0.2">
      <c r="A448" s="103"/>
      <c r="D448" s="104"/>
      <c r="H448" s="99"/>
    </row>
    <row r="449" spans="1:8" ht="14.25" x14ac:dyDescent="0.2">
      <c r="A449" s="103"/>
      <c r="D449" s="104"/>
      <c r="H449" s="99"/>
    </row>
    <row r="450" spans="1:8" ht="14.25" x14ac:dyDescent="0.2">
      <c r="A450" s="103"/>
      <c r="D450" s="104"/>
      <c r="H450" s="99"/>
    </row>
    <row r="451" spans="1:8" ht="14.25" x14ac:dyDescent="0.2">
      <c r="A451" s="103"/>
      <c r="D451" s="104"/>
      <c r="H451" s="99"/>
    </row>
    <row r="452" spans="1:8" ht="14.25" x14ac:dyDescent="0.2">
      <c r="A452" s="103"/>
      <c r="D452" s="104"/>
      <c r="H452" s="99"/>
    </row>
    <row r="453" spans="1:8" ht="14.25" x14ac:dyDescent="0.2">
      <c r="A453" s="103"/>
      <c r="D453" s="104"/>
      <c r="H453" s="99"/>
    </row>
    <row r="454" spans="1:8" ht="14.25" x14ac:dyDescent="0.2">
      <c r="A454" s="103"/>
      <c r="D454" s="104"/>
      <c r="H454" s="99"/>
    </row>
    <row r="455" spans="1:8" ht="14.25" x14ac:dyDescent="0.2">
      <c r="A455" s="103"/>
      <c r="D455" s="104"/>
      <c r="H455" s="99"/>
    </row>
    <row r="456" spans="1:8" ht="14.25" x14ac:dyDescent="0.2">
      <c r="A456" s="103"/>
      <c r="D456" s="104"/>
      <c r="H456" s="99"/>
    </row>
    <row r="457" spans="1:8" ht="14.25" x14ac:dyDescent="0.2">
      <c r="A457" s="103"/>
      <c r="D457" s="104"/>
      <c r="H457" s="99"/>
    </row>
    <row r="458" spans="1:8" ht="14.25" x14ac:dyDescent="0.2">
      <c r="A458" s="103"/>
      <c r="D458" s="104"/>
      <c r="H458" s="99"/>
    </row>
    <row r="459" spans="1:8" ht="14.25" x14ac:dyDescent="0.2">
      <c r="A459" s="103"/>
      <c r="D459" s="104"/>
      <c r="H459" s="99"/>
    </row>
    <row r="460" spans="1:8" ht="14.25" x14ac:dyDescent="0.2">
      <c r="A460" s="103"/>
      <c r="D460" s="104"/>
      <c r="H460" s="99"/>
    </row>
    <row r="461" spans="1:8" ht="14.25" x14ac:dyDescent="0.2">
      <c r="A461" s="103"/>
      <c r="D461" s="104"/>
      <c r="H461" s="99"/>
    </row>
    <row r="462" spans="1:8" ht="14.25" x14ac:dyDescent="0.2">
      <c r="A462" s="103"/>
      <c r="D462" s="104"/>
      <c r="H462" s="99"/>
    </row>
    <row r="463" spans="1:8" ht="14.25" x14ac:dyDescent="0.2">
      <c r="A463" s="103"/>
      <c r="D463" s="104"/>
      <c r="H463" s="99"/>
    </row>
    <row r="464" spans="1:8" ht="14.25" x14ac:dyDescent="0.2">
      <c r="A464" s="103"/>
      <c r="D464" s="104"/>
      <c r="H464" s="99"/>
    </row>
    <row r="465" spans="1:8" ht="14.25" x14ac:dyDescent="0.2">
      <c r="A465" s="103"/>
      <c r="D465" s="104"/>
      <c r="H465" s="99"/>
    </row>
    <row r="466" spans="1:8" ht="14.25" x14ac:dyDescent="0.2">
      <c r="A466" s="103"/>
      <c r="D466" s="104"/>
      <c r="H466" s="99"/>
    </row>
    <row r="467" spans="1:8" ht="14.25" x14ac:dyDescent="0.2">
      <c r="A467" s="103"/>
      <c r="D467" s="104"/>
      <c r="H467" s="99"/>
    </row>
    <row r="468" spans="1:8" ht="14.25" x14ac:dyDescent="0.2">
      <c r="A468" s="103"/>
      <c r="D468" s="104"/>
      <c r="H468" s="99"/>
    </row>
    <row r="469" spans="1:8" ht="14.25" x14ac:dyDescent="0.2">
      <c r="A469" s="103"/>
      <c r="D469" s="104"/>
      <c r="H469" s="99"/>
    </row>
    <row r="470" spans="1:8" ht="14.25" x14ac:dyDescent="0.2">
      <c r="A470" s="103"/>
      <c r="D470" s="104"/>
      <c r="H470" s="99"/>
    </row>
    <row r="471" spans="1:8" ht="14.25" x14ac:dyDescent="0.2">
      <c r="A471" s="103"/>
      <c r="D471" s="104"/>
      <c r="H471" s="99"/>
    </row>
    <row r="472" spans="1:8" ht="14.25" x14ac:dyDescent="0.2">
      <c r="A472" s="103"/>
      <c r="D472" s="104"/>
      <c r="H472" s="99"/>
    </row>
    <row r="473" spans="1:8" ht="14.25" x14ac:dyDescent="0.2">
      <c r="A473" s="103"/>
      <c r="D473" s="104"/>
      <c r="H473" s="99"/>
    </row>
    <row r="474" spans="1:8" ht="14.25" x14ac:dyDescent="0.2">
      <c r="A474" s="103"/>
      <c r="D474" s="104"/>
      <c r="H474" s="99"/>
    </row>
    <row r="475" spans="1:8" ht="14.25" x14ac:dyDescent="0.2">
      <c r="A475" s="103"/>
      <c r="D475" s="104"/>
      <c r="H475" s="99"/>
    </row>
    <row r="476" spans="1:8" ht="14.25" x14ac:dyDescent="0.2">
      <c r="A476" s="103"/>
      <c r="D476" s="104"/>
      <c r="H476" s="99"/>
    </row>
    <row r="477" spans="1:8" ht="14.25" x14ac:dyDescent="0.2">
      <c r="A477" s="103"/>
      <c r="D477" s="104"/>
      <c r="H477" s="99"/>
    </row>
    <row r="478" spans="1:8" ht="14.25" x14ac:dyDescent="0.2">
      <c r="A478" s="103"/>
      <c r="D478" s="104"/>
      <c r="H478" s="99"/>
    </row>
    <row r="479" spans="1:8" ht="14.25" x14ac:dyDescent="0.2">
      <c r="A479" s="103"/>
      <c r="D479" s="104"/>
      <c r="H479" s="99"/>
    </row>
    <row r="480" spans="1:8" ht="14.25" x14ac:dyDescent="0.2">
      <c r="A480" s="103"/>
      <c r="D480" s="104"/>
      <c r="H480" s="99"/>
    </row>
    <row r="481" spans="1:8" ht="14.25" x14ac:dyDescent="0.2">
      <c r="A481" s="103"/>
      <c r="D481" s="104"/>
      <c r="H481" s="99"/>
    </row>
    <row r="482" spans="1:8" ht="14.25" x14ac:dyDescent="0.2">
      <c r="A482" s="103"/>
      <c r="D482" s="104"/>
      <c r="H482" s="99"/>
    </row>
    <row r="483" spans="1:8" ht="14.25" x14ac:dyDescent="0.2">
      <c r="A483" s="103"/>
      <c r="D483" s="104"/>
      <c r="H483" s="99"/>
    </row>
    <row r="484" spans="1:8" ht="14.25" x14ac:dyDescent="0.2">
      <c r="A484" s="103"/>
      <c r="D484" s="104"/>
      <c r="H484" s="99"/>
    </row>
    <row r="485" spans="1:8" ht="14.25" x14ac:dyDescent="0.2">
      <c r="A485" s="103"/>
      <c r="D485" s="104"/>
      <c r="H485" s="99"/>
    </row>
    <row r="486" spans="1:8" ht="14.25" x14ac:dyDescent="0.2">
      <c r="A486" s="103"/>
      <c r="D486" s="104"/>
      <c r="H486" s="99"/>
    </row>
    <row r="487" spans="1:8" ht="14.25" x14ac:dyDescent="0.2">
      <c r="A487" s="103"/>
      <c r="D487" s="104"/>
      <c r="H487" s="99"/>
    </row>
    <row r="488" spans="1:8" ht="14.25" x14ac:dyDescent="0.2">
      <c r="A488" s="103"/>
      <c r="D488" s="104"/>
      <c r="H488" s="99"/>
    </row>
    <row r="489" spans="1:8" ht="14.25" x14ac:dyDescent="0.2">
      <c r="A489" s="103"/>
      <c r="D489" s="104"/>
      <c r="H489" s="99"/>
    </row>
    <row r="490" spans="1:8" ht="14.25" x14ac:dyDescent="0.2">
      <c r="A490" s="103"/>
      <c r="D490" s="104"/>
      <c r="H490" s="99"/>
    </row>
    <row r="491" spans="1:8" ht="14.25" x14ac:dyDescent="0.2">
      <c r="A491" s="103"/>
      <c r="D491" s="104"/>
      <c r="H491" s="99"/>
    </row>
    <row r="492" spans="1:8" ht="14.25" x14ac:dyDescent="0.2">
      <c r="A492" s="103"/>
      <c r="D492" s="104"/>
      <c r="H492" s="99"/>
    </row>
    <row r="493" spans="1:8" ht="14.25" x14ac:dyDescent="0.2">
      <c r="A493" s="103"/>
      <c r="D493" s="104"/>
      <c r="H493" s="99"/>
    </row>
    <row r="494" spans="1:8" ht="14.25" x14ac:dyDescent="0.2">
      <c r="A494" s="103"/>
      <c r="D494" s="104"/>
      <c r="H494" s="99"/>
    </row>
    <row r="495" spans="1:8" ht="14.25" x14ac:dyDescent="0.2">
      <c r="A495" s="103"/>
      <c r="D495" s="104"/>
      <c r="H495" s="99"/>
    </row>
    <row r="496" spans="1:8" ht="14.25" x14ac:dyDescent="0.2">
      <c r="A496" s="103"/>
      <c r="D496" s="104"/>
      <c r="H496" s="99"/>
    </row>
    <row r="497" spans="1:8" ht="14.25" x14ac:dyDescent="0.2">
      <c r="A497" s="103"/>
      <c r="D497" s="104"/>
      <c r="H497" s="99"/>
    </row>
    <row r="498" spans="1:8" ht="14.25" x14ac:dyDescent="0.2">
      <c r="A498" s="103"/>
      <c r="D498" s="104"/>
      <c r="H498" s="99"/>
    </row>
    <row r="499" spans="1:8" ht="14.25" x14ac:dyDescent="0.2">
      <c r="A499" s="103"/>
      <c r="D499" s="104"/>
      <c r="H499" s="99"/>
    </row>
    <row r="500" spans="1:8" ht="14.25" x14ac:dyDescent="0.2">
      <c r="A500" s="103"/>
      <c r="D500" s="104"/>
      <c r="H500" s="99"/>
    </row>
    <row r="501" spans="1:8" ht="14.25" x14ac:dyDescent="0.2">
      <c r="A501" s="103"/>
      <c r="D501" s="104"/>
      <c r="H501" s="99"/>
    </row>
    <row r="502" spans="1:8" ht="14.25" x14ac:dyDescent="0.2">
      <c r="A502" s="103"/>
      <c r="D502" s="104"/>
      <c r="H502" s="99"/>
    </row>
    <row r="503" spans="1:8" ht="14.25" x14ac:dyDescent="0.2">
      <c r="A503" s="103"/>
      <c r="D503" s="104"/>
      <c r="H503" s="99"/>
    </row>
    <row r="504" spans="1:8" ht="14.25" x14ac:dyDescent="0.2">
      <c r="A504" s="103"/>
      <c r="D504" s="104"/>
      <c r="H504" s="99"/>
    </row>
    <row r="505" spans="1:8" ht="14.25" x14ac:dyDescent="0.2">
      <c r="A505" s="103"/>
      <c r="D505" s="104"/>
      <c r="H505" s="99"/>
    </row>
    <row r="506" spans="1:8" ht="14.25" x14ac:dyDescent="0.2">
      <c r="A506" s="103"/>
      <c r="D506" s="104"/>
      <c r="H506" s="99"/>
    </row>
    <row r="507" spans="1:8" ht="14.25" x14ac:dyDescent="0.2">
      <c r="A507" s="103"/>
      <c r="D507" s="104"/>
      <c r="H507" s="99"/>
    </row>
    <row r="508" spans="1:8" ht="14.25" x14ac:dyDescent="0.2">
      <c r="A508" s="103"/>
      <c r="D508" s="104"/>
      <c r="H508" s="99"/>
    </row>
    <row r="509" spans="1:8" ht="14.25" x14ac:dyDescent="0.2">
      <c r="A509" s="103"/>
      <c r="D509" s="104"/>
      <c r="H509" s="99"/>
    </row>
    <row r="510" spans="1:8" ht="14.25" x14ac:dyDescent="0.2">
      <c r="A510" s="103"/>
      <c r="D510" s="104"/>
      <c r="H510" s="99"/>
    </row>
    <row r="511" spans="1:8" ht="14.25" x14ac:dyDescent="0.2">
      <c r="A511" s="103"/>
      <c r="D511" s="104"/>
      <c r="H511" s="99"/>
    </row>
    <row r="512" spans="1:8" ht="14.25" x14ac:dyDescent="0.2">
      <c r="A512" s="103"/>
      <c r="D512" s="104"/>
      <c r="H512" s="99"/>
    </row>
    <row r="513" spans="1:8" ht="14.25" x14ac:dyDescent="0.2">
      <c r="A513" s="103"/>
      <c r="D513" s="104"/>
      <c r="H513" s="99"/>
    </row>
    <row r="514" spans="1:8" ht="14.25" x14ac:dyDescent="0.2">
      <c r="A514" s="103"/>
      <c r="D514" s="104"/>
      <c r="H514" s="99"/>
    </row>
    <row r="515" spans="1:8" ht="14.25" x14ac:dyDescent="0.2">
      <c r="A515" s="103"/>
      <c r="D515" s="104"/>
      <c r="H515" s="99"/>
    </row>
    <row r="516" spans="1:8" ht="14.25" x14ac:dyDescent="0.2">
      <c r="A516" s="103"/>
      <c r="D516" s="104"/>
      <c r="H516" s="99"/>
    </row>
    <row r="517" spans="1:8" ht="14.25" x14ac:dyDescent="0.2">
      <c r="A517" s="103"/>
      <c r="D517" s="104"/>
      <c r="H517" s="99"/>
    </row>
    <row r="518" spans="1:8" ht="14.25" x14ac:dyDescent="0.2">
      <c r="A518" s="103"/>
      <c r="D518" s="104"/>
      <c r="H518" s="99"/>
    </row>
    <row r="519" spans="1:8" ht="14.25" x14ac:dyDescent="0.2">
      <c r="A519" s="103"/>
      <c r="D519" s="104"/>
      <c r="H519" s="99"/>
    </row>
    <row r="520" spans="1:8" ht="14.25" x14ac:dyDescent="0.2">
      <c r="A520" s="103"/>
      <c r="D520" s="104"/>
      <c r="H520" s="99"/>
    </row>
    <row r="521" spans="1:8" ht="14.25" x14ac:dyDescent="0.2">
      <c r="A521" s="103"/>
      <c r="D521" s="104"/>
      <c r="H521" s="99"/>
    </row>
    <row r="522" spans="1:8" ht="14.25" x14ac:dyDescent="0.2">
      <c r="A522" s="103"/>
      <c r="D522" s="104"/>
      <c r="H522" s="99"/>
    </row>
    <row r="523" spans="1:8" ht="14.25" x14ac:dyDescent="0.2">
      <c r="A523" s="103"/>
      <c r="D523" s="104"/>
      <c r="H523" s="99"/>
    </row>
    <row r="524" spans="1:8" ht="14.25" x14ac:dyDescent="0.2">
      <c r="A524" s="103"/>
      <c r="D524" s="104"/>
      <c r="H524" s="99"/>
    </row>
    <row r="525" spans="1:8" ht="14.25" x14ac:dyDescent="0.2">
      <c r="A525" s="103"/>
      <c r="D525" s="104"/>
      <c r="H525" s="99"/>
    </row>
    <row r="526" spans="1:8" ht="14.25" x14ac:dyDescent="0.2">
      <c r="A526" s="103"/>
      <c r="D526" s="104"/>
      <c r="H526" s="99"/>
    </row>
    <row r="527" spans="1:8" ht="14.25" x14ac:dyDescent="0.2">
      <c r="A527" s="103"/>
      <c r="D527" s="104"/>
      <c r="H527" s="99"/>
    </row>
    <row r="528" spans="1:8" ht="14.25" x14ac:dyDescent="0.2">
      <c r="A528" s="103"/>
      <c r="D528" s="104"/>
      <c r="H528" s="99"/>
    </row>
    <row r="529" spans="1:8" ht="14.25" x14ac:dyDescent="0.2">
      <c r="A529" s="103"/>
      <c r="D529" s="104"/>
      <c r="H529" s="99"/>
    </row>
    <row r="530" spans="1:8" ht="14.25" x14ac:dyDescent="0.2">
      <c r="A530" s="103"/>
      <c r="D530" s="104"/>
      <c r="H530" s="99"/>
    </row>
    <row r="531" spans="1:8" ht="14.25" x14ac:dyDescent="0.2">
      <c r="A531" s="103"/>
      <c r="D531" s="104"/>
      <c r="H531" s="99"/>
    </row>
    <row r="532" spans="1:8" ht="14.25" x14ac:dyDescent="0.2">
      <c r="A532" s="103"/>
      <c r="D532" s="104"/>
      <c r="H532" s="99"/>
    </row>
    <row r="533" spans="1:8" ht="14.25" x14ac:dyDescent="0.2">
      <c r="A533" s="103"/>
      <c r="D533" s="104"/>
      <c r="H533" s="99"/>
    </row>
    <row r="534" spans="1:8" ht="14.25" x14ac:dyDescent="0.2">
      <c r="A534" s="103"/>
      <c r="D534" s="104"/>
      <c r="H534" s="99"/>
    </row>
    <row r="535" spans="1:8" ht="14.25" x14ac:dyDescent="0.2">
      <c r="A535" s="103"/>
      <c r="D535" s="104"/>
      <c r="H535" s="99"/>
    </row>
    <row r="536" spans="1:8" ht="14.25" x14ac:dyDescent="0.2">
      <c r="A536" s="103"/>
      <c r="D536" s="104"/>
      <c r="H536" s="99"/>
    </row>
    <row r="537" spans="1:8" ht="14.25" x14ac:dyDescent="0.2">
      <c r="A537" s="103"/>
      <c r="D537" s="104"/>
      <c r="H537" s="99"/>
    </row>
    <row r="538" spans="1:8" ht="14.25" x14ac:dyDescent="0.2">
      <c r="A538" s="103"/>
      <c r="D538" s="104"/>
      <c r="H538" s="99"/>
    </row>
    <row r="539" spans="1:8" ht="14.25" x14ac:dyDescent="0.2">
      <c r="A539" s="103"/>
      <c r="D539" s="104"/>
      <c r="H539" s="99"/>
    </row>
    <row r="540" spans="1:8" ht="14.25" x14ac:dyDescent="0.2">
      <c r="A540" s="103"/>
      <c r="D540" s="104"/>
      <c r="H540" s="99"/>
    </row>
    <row r="541" spans="1:8" ht="14.25" x14ac:dyDescent="0.2">
      <c r="A541" s="103"/>
      <c r="D541" s="104"/>
      <c r="H541" s="99"/>
    </row>
    <row r="542" spans="1:8" ht="14.25" x14ac:dyDescent="0.2">
      <c r="A542" s="103"/>
      <c r="D542" s="104"/>
      <c r="H542" s="99"/>
    </row>
    <row r="543" spans="1:8" ht="14.25" x14ac:dyDescent="0.2">
      <c r="A543" s="103"/>
      <c r="D543" s="104"/>
      <c r="H543" s="99"/>
    </row>
    <row r="544" spans="1:8" ht="14.25" x14ac:dyDescent="0.2">
      <c r="A544" s="103"/>
      <c r="D544" s="104"/>
      <c r="H544" s="99"/>
    </row>
    <row r="545" spans="1:8" ht="14.25" x14ac:dyDescent="0.2">
      <c r="A545" s="103"/>
      <c r="D545" s="104"/>
      <c r="H545" s="99"/>
    </row>
    <row r="546" spans="1:8" ht="14.25" x14ac:dyDescent="0.2">
      <c r="A546" s="103"/>
      <c r="D546" s="104"/>
      <c r="H546" s="99"/>
    </row>
    <row r="547" spans="1:8" ht="14.25" x14ac:dyDescent="0.2">
      <c r="A547" s="103"/>
      <c r="D547" s="104"/>
      <c r="H547" s="99"/>
    </row>
    <row r="548" spans="1:8" ht="14.25" x14ac:dyDescent="0.2">
      <c r="A548" s="103"/>
      <c r="D548" s="104"/>
      <c r="H548" s="99"/>
    </row>
    <row r="549" spans="1:8" ht="14.25" x14ac:dyDescent="0.2">
      <c r="A549" s="103"/>
      <c r="D549" s="104"/>
      <c r="H549" s="99"/>
    </row>
    <row r="550" spans="1:8" ht="14.25" x14ac:dyDescent="0.2">
      <c r="A550" s="103"/>
      <c r="D550" s="104"/>
      <c r="H550" s="99"/>
    </row>
    <row r="551" spans="1:8" ht="14.25" x14ac:dyDescent="0.2">
      <c r="A551" s="103"/>
      <c r="D551" s="104"/>
      <c r="H551" s="99"/>
    </row>
    <row r="552" spans="1:8" ht="14.25" x14ac:dyDescent="0.2">
      <c r="A552" s="103"/>
      <c r="D552" s="104"/>
      <c r="H552" s="99"/>
    </row>
    <row r="553" spans="1:8" ht="14.25" x14ac:dyDescent="0.2">
      <c r="A553" s="103"/>
      <c r="D553" s="104"/>
      <c r="H553" s="99"/>
    </row>
    <row r="554" spans="1:8" ht="14.25" x14ac:dyDescent="0.2">
      <c r="A554" s="103"/>
      <c r="D554" s="104"/>
      <c r="H554" s="99"/>
    </row>
    <row r="555" spans="1:8" ht="14.25" x14ac:dyDescent="0.2">
      <c r="A555" s="103"/>
      <c r="D555" s="104"/>
      <c r="H555" s="99"/>
    </row>
    <row r="556" spans="1:8" ht="14.25" x14ac:dyDescent="0.2">
      <c r="A556" s="103"/>
      <c r="D556" s="104"/>
      <c r="H556" s="99"/>
    </row>
    <row r="557" spans="1:8" ht="14.25" x14ac:dyDescent="0.2">
      <c r="A557" s="103"/>
      <c r="D557" s="104"/>
      <c r="H557" s="99"/>
    </row>
    <row r="558" spans="1:8" ht="14.25" x14ac:dyDescent="0.2">
      <c r="A558" s="103"/>
      <c r="D558" s="104"/>
      <c r="H558" s="99"/>
    </row>
    <row r="559" spans="1:8" ht="14.25" x14ac:dyDescent="0.2">
      <c r="A559" s="103"/>
      <c r="D559" s="104"/>
      <c r="H559" s="99"/>
    </row>
    <row r="560" spans="1:8" ht="14.25" x14ac:dyDescent="0.2">
      <c r="A560" s="103"/>
      <c r="D560" s="104"/>
      <c r="H560" s="99"/>
    </row>
    <row r="561" spans="1:8" ht="14.25" x14ac:dyDescent="0.2">
      <c r="A561" s="103"/>
      <c r="D561" s="104"/>
      <c r="H561" s="99"/>
    </row>
    <row r="562" spans="1:8" ht="14.25" x14ac:dyDescent="0.2">
      <c r="A562" s="103"/>
      <c r="D562" s="104"/>
      <c r="H562" s="99"/>
    </row>
    <row r="563" spans="1:8" ht="14.25" x14ac:dyDescent="0.2">
      <c r="A563" s="103"/>
      <c r="D563" s="104"/>
      <c r="H563" s="99"/>
    </row>
    <row r="564" spans="1:8" ht="14.25" x14ac:dyDescent="0.2">
      <c r="A564" s="103"/>
      <c r="D564" s="104"/>
      <c r="H564" s="99"/>
    </row>
    <row r="565" spans="1:8" ht="14.25" x14ac:dyDescent="0.2">
      <c r="A565" s="103"/>
      <c r="D565" s="104"/>
      <c r="H565" s="99"/>
    </row>
    <row r="566" spans="1:8" ht="14.25" x14ac:dyDescent="0.2">
      <c r="A566" s="103"/>
      <c r="D566" s="104"/>
      <c r="H566" s="99"/>
    </row>
    <row r="567" spans="1:8" ht="14.25" x14ac:dyDescent="0.2">
      <c r="A567" s="103"/>
      <c r="D567" s="104"/>
      <c r="H567" s="99"/>
    </row>
    <row r="568" spans="1:8" ht="14.25" x14ac:dyDescent="0.2">
      <c r="A568" s="103"/>
      <c r="D568" s="104"/>
      <c r="H568" s="99"/>
    </row>
    <row r="569" spans="1:8" ht="14.25" x14ac:dyDescent="0.2">
      <c r="A569" s="103"/>
      <c r="D569" s="104"/>
      <c r="H569" s="99"/>
    </row>
    <row r="570" spans="1:8" ht="14.25" x14ac:dyDescent="0.2">
      <c r="A570" s="103"/>
      <c r="D570" s="104"/>
      <c r="H570" s="99"/>
    </row>
    <row r="571" spans="1:8" ht="14.25" x14ac:dyDescent="0.2">
      <c r="A571" s="103"/>
      <c r="D571" s="104"/>
      <c r="H571" s="99"/>
    </row>
    <row r="572" spans="1:8" ht="14.25" x14ac:dyDescent="0.2">
      <c r="A572" s="103"/>
      <c r="D572" s="104"/>
      <c r="H572" s="99"/>
    </row>
    <row r="573" spans="1:8" ht="14.25" x14ac:dyDescent="0.2">
      <c r="A573" s="103"/>
      <c r="D573" s="104"/>
      <c r="H573" s="99"/>
    </row>
    <row r="574" spans="1:8" ht="14.25" x14ac:dyDescent="0.2">
      <c r="A574" s="103"/>
      <c r="D574" s="104"/>
      <c r="H574" s="99"/>
    </row>
    <row r="575" spans="1:8" ht="14.25" x14ac:dyDescent="0.2">
      <c r="A575" s="103"/>
      <c r="D575" s="104"/>
      <c r="H575" s="99"/>
    </row>
    <row r="576" spans="1:8" ht="14.25" x14ac:dyDescent="0.2">
      <c r="A576" s="103"/>
      <c r="D576" s="104"/>
      <c r="H576" s="99"/>
    </row>
    <row r="577" spans="1:8" ht="14.25" x14ac:dyDescent="0.2">
      <c r="A577" s="103"/>
      <c r="D577" s="104"/>
      <c r="H577" s="99"/>
    </row>
    <row r="578" spans="1:8" ht="14.25" x14ac:dyDescent="0.2">
      <c r="A578" s="103"/>
      <c r="D578" s="104"/>
      <c r="H578" s="99"/>
    </row>
    <row r="579" spans="1:8" ht="14.25" x14ac:dyDescent="0.2">
      <c r="A579" s="103"/>
      <c r="D579" s="104"/>
      <c r="H579" s="99"/>
    </row>
    <row r="580" spans="1:8" ht="14.25" x14ac:dyDescent="0.2">
      <c r="A580" s="103"/>
      <c r="D580" s="104"/>
      <c r="H580" s="99"/>
    </row>
    <row r="581" spans="1:8" ht="14.25" x14ac:dyDescent="0.2">
      <c r="A581" s="103"/>
      <c r="D581" s="104"/>
      <c r="H581" s="99"/>
    </row>
    <row r="582" spans="1:8" ht="14.25" x14ac:dyDescent="0.2">
      <c r="A582" s="103"/>
      <c r="D582" s="104"/>
      <c r="H582" s="99"/>
    </row>
    <row r="583" spans="1:8" ht="14.25" x14ac:dyDescent="0.2">
      <c r="A583" s="103"/>
      <c r="D583" s="104"/>
      <c r="H583" s="99"/>
    </row>
    <row r="584" spans="1:8" ht="14.25" x14ac:dyDescent="0.2">
      <c r="A584" s="103"/>
      <c r="D584" s="104"/>
      <c r="H584" s="99"/>
    </row>
    <row r="585" spans="1:8" ht="14.25" x14ac:dyDescent="0.2">
      <c r="A585" s="103"/>
      <c r="D585" s="104"/>
      <c r="H585" s="99"/>
    </row>
    <row r="586" spans="1:8" ht="14.25" x14ac:dyDescent="0.2">
      <c r="A586" s="103"/>
      <c r="D586" s="104"/>
      <c r="H586" s="99"/>
    </row>
    <row r="587" spans="1:8" ht="14.25" x14ac:dyDescent="0.2">
      <c r="A587" s="103"/>
      <c r="D587" s="104"/>
      <c r="H587" s="99"/>
    </row>
    <row r="588" spans="1:8" ht="14.25" x14ac:dyDescent="0.2">
      <c r="A588" s="103"/>
      <c r="D588" s="104"/>
      <c r="H588" s="99"/>
    </row>
    <row r="589" spans="1:8" ht="14.25" x14ac:dyDescent="0.2">
      <c r="A589" s="103"/>
      <c r="D589" s="104"/>
      <c r="H589" s="99"/>
    </row>
    <row r="590" spans="1:8" ht="14.25" x14ac:dyDescent="0.2">
      <c r="A590" s="103"/>
      <c r="D590" s="104"/>
      <c r="H590" s="99"/>
    </row>
    <row r="591" spans="1:8" ht="14.25" x14ac:dyDescent="0.2">
      <c r="A591" s="103"/>
      <c r="D591" s="104"/>
      <c r="H591" s="99"/>
    </row>
    <row r="592" spans="1:8" ht="14.25" x14ac:dyDescent="0.2">
      <c r="A592" s="103"/>
      <c r="D592" s="104"/>
      <c r="H592" s="99"/>
    </row>
    <row r="593" spans="1:8" ht="14.25" x14ac:dyDescent="0.2">
      <c r="A593" s="103"/>
      <c r="D593" s="104"/>
      <c r="H593" s="99"/>
    </row>
    <row r="594" spans="1:8" ht="14.25" x14ac:dyDescent="0.2">
      <c r="A594" s="103"/>
      <c r="D594" s="104"/>
      <c r="H594" s="99"/>
    </row>
    <row r="595" spans="1:8" ht="14.25" x14ac:dyDescent="0.2">
      <c r="A595" s="103"/>
      <c r="D595" s="104"/>
      <c r="H595" s="99"/>
    </row>
    <row r="596" spans="1:8" ht="14.25" x14ac:dyDescent="0.2">
      <c r="A596" s="103"/>
      <c r="D596" s="104"/>
      <c r="H596" s="99"/>
    </row>
    <row r="597" spans="1:8" ht="14.25" x14ac:dyDescent="0.2">
      <c r="A597" s="103"/>
      <c r="D597" s="104"/>
      <c r="H597" s="99"/>
    </row>
    <row r="598" spans="1:8" ht="14.25" x14ac:dyDescent="0.2">
      <c r="A598" s="103"/>
      <c r="D598" s="104"/>
      <c r="H598" s="99"/>
    </row>
    <row r="599" spans="1:8" ht="14.25" x14ac:dyDescent="0.2">
      <c r="A599" s="103"/>
      <c r="D599" s="104"/>
      <c r="H599" s="99"/>
    </row>
    <row r="600" spans="1:8" ht="14.25" x14ac:dyDescent="0.2">
      <c r="A600" s="103"/>
      <c r="D600" s="104"/>
      <c r="H600" s="99"/>
    </row>
    <row r="601" spans="1:8" ht="14.25" x14ac:dyDescent="0.2">
      <c r="A601" s="103"/>
      <c r="D601" s="104"/>
      <c r="H601" s="99"/>
    </row>
    <row r="602" spans="1:8" ht="14.25" x14ac:dyDescent="0.2">
      <c r="A602" s="103"/>
      <c r="D602" s="104"/>
      <c r="H602" s="99"/>
    </row>
    <row r="603" spans="1:8" ht="14.25" x14ac:dyDescent="0.2">
      <c r="A603" s="103"/>
      <c r="D603" s="104"/>
      <c r="H603" s="99"/>
    </row>
    <row r="604" spans="1:8" ht="14.25" x14ac:dyDescent="0.2">
      <c r="A604" s="103"/>
      <c r="D604" s="104"/>
      <c r="H604" s="99"/>
    </row>
    <row r="605" spans="1:8" ht="14.25" x14ac:dyDescent="0.2">
      <c r="A605" s="103"/>
      <c r="D605" s="104"/>
      <c r="H605" s="99"/>
    </row>
    <row r="606" spans="1:8" ht="14.25" x14ac:dyDescent="0.2">
      <c r="A606" s="103"/>
      <c r="D606" s="104"/>
      <c r="H606" s="99"/>
    </row>
    <row r="607" spans="1:8" ht="14.25" x14ac:dyDescent="0.2">
      <c r="A607" s="103"/>
      <c r="D607" s="104"/>
      <c r="H607" s="99"/>
    </row>
    <row r="608" spans="1:8" ht="14.25" x14ac:dyDescent="0.2">
      <c r="A608" s="103"/>
      <c r="D608" s="104"/>
      <c r="H608" s="99"/>
    </row>
    <row r="609" spans="1:8" ht="14.25" x14ac:dyDescent="0.2">
      <c r="A609" s="103"/>
      <c r="D609" s="104"/>
      <c r="H609" s="99"/>
    </row>
    <row r="610" spans="1:8" ht="14.25" x14ac:dyDescent="0.2">
      <c r="A610" s="103"/>
      <c r="D610" s="104"/>
      <c r="H610" s="99"/>
    </row>
    <row r="611" spans="1:8" ht="14.25" x14ac:dyDescent="0.2">
      <c r="A611" s="103"/>
      <c r="D611" s="104"/>
      <c r="H611" s="99"/>
    </row>
    <row r="612" spans="1:8" ht="14.25" x14ac:dyDescent="0.2">
      <c r="A612" s="103"/>
      <c r="D612" s="104"/>
      <c r="H612" s="99"/>
    </row>
    <row r="613" spans="1:8" ht="14.25" x14ac:dyDescent="0.2">
      <c r="A613" s="103"/>
      <c r="D613" s="104"/>
      <c r="H613" s="99"/>
    </row>
    <row r="614" spans="1:8" ht="14.25" x14ac:dyDescent="0.2">
      <c r="A614" s="103"/>
      <c r="D614" s="104"/>
      <c r="H614" s="99"/>
    </row>
    <row r="615" spans="1:8" ht="14.25" x14ac:dyDescent="0.2">
      <c r="A615" s="103"/>
      <c r="D615" s="104"/>
      <c r="H615" s="99"/>
    </row>
    <row r="616" spans="1:8" ht="14.25" x14ac:dyDescent="0.2">
      <c r="A616" s="103"/>
      <c r="D616" s="104"/>
      <c r="H616" s="99"/>
    </row>
    <row r="617" spans="1:8" ht="14.25" x14ac:dyDescent="0.2">
      <c r="A617" s="103"/>
      <c r="D617" s="104"/>
      <c r="H617" s="99"/>
    </row>
    <row r="618" spans="1:8" ht="14.25" x14ac:dyDescent="0.2">
      <c r="A618" s="103"/>
      <c r="D618" s="104"/>
      <c r="H618" s="99"/>
    </row>
    <row r="619" spans="1:8" ht="14.25" x14ac:dyDescent="0.2">
      <c r="A619" s="103"/>
      <c r="D619" s="104"/>
      <c r="H619" s="99"/>
    </row>
    <row r="620" spans="1:8" ht="14.25" x14ac:dyDescent="0.2">
      <c r="A620" s="103"/>
      <c r="D620" s="104"/>
      <c r="H620" s="99"/>
    </row>
    <row r="621" spans="1:8" ht="14.25" x14ac:dyDescent="0.2">
      <c r="A621" s="103"/>
      <c r="D621" s="104"/>
      <c r="H621" s="99"/>
    </row>
    <row r="622" spans="1:8" ht="14.25" x14ac:dyDescent="0.2">
      <c r="A622" s="103"/>
      <c r="D622" s="104"/>
      <c r="H622" s="99"/>
    </row>
    <row r="623" spans="1:8" ht="14.25" x14ac:dyDescent="0.2">
      <c r="A623" s="103"/>
      <c r="D623" s="104"/>
      <c r="H623" s="99"/>
    </row>
    <row r="624" spans="1:8" ht="14.25" x14ac:dyDescent="0.2">
      <c r="A624" s="103"/>
      <c r="D624" s="104"/>
      <c r="H624" s="99"/>
    </row>
    <row r="625" spans="1:8" ht="14.25" x14ac:dyDescent="0.2">
      <c r="A625" s="103"/>
      <c r="D625" s="104"/>
      <c r="H625" s="99"/>
    </row>
    <row r="626" spans="1:8" ht="14.25" x14ac:dyDescent="0.2">
      <c r="A626" s="103"/>
      <c r="D626" s="104"/>
      <c r="H626" s="99"/>
    </row>
    <row r="627" spans="1:8" ht="14.25" x14ac:dyDescent="0.2">
      <c r="A627" s="103"/>
      <c r="D627" s="104"/>
      <c r="H627" s="99"/>
    </row>
    <row r="628" spans="1:8" ht="14.25" x14ac:dyDescent="0.2">
      <c r="A628" s="103"/>
      <c r="D628" s="104"/>
      <c r="H628" s="99"/>
    </row>
    <row r="629" spans="1:8" ht="14.25" x14ac:dyDescent="0.2">
      <c r="A629" s="103"/>
      <c r="D629" s="104"/>
      <c r="H629" s="99"/>
    </row>
    <row r="630" spans="1:8" ht="14.25" x14ac:dyDescent="0.2">
      <c r="A630" s="103"/>
      <c r="D630" s="104"/>
      <c r="H630" s="99"/>
    </row>
    <row r="631" spans="1:8" ht="14.25" x14ac:dyDescent="0.2">
      <c r="A631" s="103"/>
      <c r="D631" s="104"/>
      <c r="H631" s="99"/>
    </row>
    <row r="632" spans="1:8" ht="14.25" x14ac:dyDescent="0.2">
      <c r="A632" s="103"/>
      <c r="D632" s="104"/>
      <c r="H632" s="99"/>
    </row>
    <row r="633" spans="1:8" ht="14.25" x14ac:dyDescent="0.2">
      <c r="A633" s="103"/>
      <c r="D633" s="104"/>
      <c r="H633" s="99"/>
    </row>
    <row r="634" spans="1:8" ht="14.25" x14ac:dyDescent="0.2">
      <c r="A634" s="103"/>
      <c r="D634" s="104"/>
      <c r="H634" s="99"/>
    </row>
    <row r="635" spans="1:8" ht="14.25" x14ac:dyDescent="0.2">
      <c r="A635" s="103"/>
      <c r="D635" s="104"/>
      <c r="H635" s="99"/>
    </row>
    <row r="636" spans="1:8" ht="14.25" x14ac:dyDescent="0.2">
      <c r="A636" s="103"/>
      <c r="D636" s="104"/>
      <c r="H636" s="99"/>
    </row>
    <row r="637" spans="1:8" ht="14.25" x14ac:dyDescent="0.2">
      <c r="A637" s="103"/>
      <c r="D637" s="104"/>
      <c r="H637" s="99"/>
    </row>
    <row r="638" spans="1:8" ht="14.25" x14ac:dyDescent="0.2">
      <c r="A638" s="103"/>
      <c r="D638" s="104"/>
      <c r="H638" s="99"/>
    </row>
    <row r="639" spans="1:8" ht="14.25" x14ac:dyDescent="0.2">
      <c r="A639" s="103"/>
      <c r="D639" s="104"/>
      <c r="H639" s="99"/>
    </row>
    <row r="640" spans="1:8" ht="14.25" x14ac:dyDescent="0.2">
      <c r="A640" s="103"/>
      <c r="D640" s="104"/>
      <c r="H640" s="99"/>
    </row>
    <row r="641" spans="1:8" ht="14.25" x14ac:dyDescent="0.2">
      <c r="A641" s="103"/>
      <c r="D641" s="104"/>
      <c r="H641" s="99"/>
    </row>
    <row r="642" spans="1:8" ht="14.25" x14ac:dyDescent="0.2">
      <c r="A642" s="103"/>
      <c r="D642" s="104"/>
      <c r="H642" s="99"/>
    </row>
    <row r="643" spans="1:8" ht="14.25" x14ac:dyDescent="0.2">
      <c r="A643" s="103"/>
      <c r="D643" s="104"/>
      <c r="H643" s="99"/>
    </row>
    <row r="644" spans="1:8" ht="14.25" x14ac:dyDescent="0.2">
      <c r="A644" s="103"/>
      <c r="D644" s="104"/>
      <c r="H644" s="99"/>
    </row>
    <row r="645" spans="1:8" ht="14.25" x14ac:dyDescent="0.2">
      <c r="A645" s="103"/>
      <c r="D645" s="104"/>
      <c r="H645" s="99"/>
    </row>
    <row r="646" spans="1:8" ht="14.25" x14ac:dyDescent="0.2">
      <c r="A646" s="103"/>
      <c r="D646" s="104"/>
      <c r="H646" s="99"/>
    </row>
    <row r="647" spans="1:8" ht="14.25" x14ac:dyDescent="0.2">
      <c r="A647" s="103"/>
      <c r="D647" s="104"/>
      <c r="H647" s="99"/>
    </row>
    <row r="648" spans="1:8" ht="14.25" x14ac:dyDescent="0.2">
      <c r="A648" s="103"/>
      <c r="D648" s="104"/>
      <c r="H648" s="99"/>
    </row>
    <row r="649" spans="1:8" ht="14.25" x14ac:dyDescent="0.2">
      <c r="A649" s="103"/>
      <c r="D649" s="104"/>
      <c r="H649" s="99"/>
    </row>
    <row r="650" spans="1:8" ht="14.25" x14ac:dyDescent="0.2">
      <c r="A650" s="103"/>
      <c r="D650" s="104"/>
      <c r="H650" s="99"/>
    </row>
    <row r="651" spans="1:8" ht="14.25" x14ac:dyDescent="0.2">
      <c r="A651" s="103"/>
      <c r="D651" s="104"/>
      <c r="H651" s="99"/>
    </row>
    <row r="652" spans="1:8" ht="14.25" x14ac:dyDescent="0.2">
      <c r="A652" s="103"/>
      <c r="D652" s="104"/>
      <c r="H652" s="99"/>
    </row>
    <row r="653" spans="1:8" ht="14.25" x14ac:dyDescent="0.2">
      <c r="A653" s="103"/>
      <c r="D653" s="104"/>
      <c r="H653" s="99"/>
    </row>
    <row r="654" spans="1:8" ht="14.25" x14ac:dyDescent="0.2">
      <c r="A654" s="103"/>
      <c r="D654" s="104"/>
      <c r="H654" s="99"/>
    </row>
    <row r="655" spans="1:8" ht="14.25" x14ac:dyDescent="0.2">
      <c r="A655" s="103"/>
      <c r="D655" s="104"/>
      <c r="H655" s="99"/>
    </row>
    <row r="656" spans="1:8" ht="14.25" x14ac:dyDescent="0.2">
      <c r="A656" s="103"/>
      <c r="D656" s="104"/>
      <c r="H656" s="99"/>
    </row>
    <row r="657" spans="1:8" ht="14.25" x14ac:dyDescent="0.2">
      <c r="A657" s="103"/>
      <c r="D657" s="104"/>
      <c r="H657" s="99"/>
    </row>
    <row r="658" spans="1:8" ht="14.25" x14ac:dyDescent="0.2">
      <c r="A658" s="103"/>
      <c r="D658" s="104"/>
      <c r="H658" s="99"/>
    </row>
    <row r="659" spans="1:8" ht="14.25" x14ac:dyDescent="0.2">
      <c r="A659" s="103"/>
      <c r="D659" s="104"/>
      <c r="H659" s="99"/>
    </row>
    <row r="660" spans="1:8" ht="14.25" x14ac:dyDescent="0.2">
      <c r="A660" s="103"/>
      <c r="D660" s="104"/>
      <c r="H660" s="99"/>
    </row>
    <row r="661" spans="1:8" ht="14.25" x14ac:dyDescent="0.2">
      <c r="A661" s="103"/>
      <c r="D661" s="104"/>
      <c r="H661" s="99"/>
    </row>
    <row r="662" spans="1:8" ht="14.25" x14ac:dyDescent="0.2">
      <c r="A662" s="103"/>
      <c r="D662" s="104"/>
      <c r="H662" s="99"/>
    </row>
    <row r="663" spans="1:8" ht="14.25" x14ac:dyDescent="0.2">
      <c r="A663" s="103"/>
      <c r="D663" s="104"/>
      <c r="H663" s="99"/>
    </row>
    <row r="664" spans="1:8" ht="14.25" x14ac:dyDescent="0.2">
      <c r="A664" s="103"/>
      <c r="D664" s="104"/>
      <c r="H664" s="99"/>
    </row>
    <row r="665" spans="1:8" ht="14.25" x14ac:dyDescent="0.2">
      <c r="A665" s="103"/>
      <c r="D665" s="104"/>
      <c r="H665" s="99"/>
    </row>
    <row r="666" spans="1:8" ht="14.25" x14ac:dyDescent="0.2">
      <c r="A666" s="103"/>
      <c r="D666" s="104"/>
      <c r="H666" s="99"/>
    </row>
    <row r="667" spans="1:8" ht="14.25" x14ac:dyDescent="0.2">
      <c r="A667" s="103"/>
      <c r="D667" s="104"/>
      <c r="H667" s="99"/>
    </row>
    <row r="668" spans="1:8" ht="14.25" x14ac:dyDescent="0.2">
      <c r="A668" s="103"/>
      <c r="D668" s="104"/>
      <c r="H668" s="99"/>
    </row>
    <row r="669" spans="1:8" ht="14.25" x14ac:dyDescent="0.2">
      <c r="A669" s="103"/>
      <c r="D669" s="104"/>
      <c r="H669" s="99"/>
    </row>
    <row r="670" spans="1:8" ht="14.25" x14ac:dyDescent="0.2">
      <c r="A670" s="103"/>
      <c r="D670" s="104"/>
      <c r="H670" s="99"/>
    </row>
    <row r="671" spans="1:8" ht="14.25" x14ac:dyDescent="0.2">
      <c r="A671" s="103"/>
      <c r="D671" s="104"/>
      <c r="H671" s="99"/>
    </row>
    <row r="672" spans="1:8" ht="14.25" x14ac:dyDescent="0.2">
      <c r="A672" s="103"/>
      <c r="D672" s="104"/>
      <c r="H672" s="99"/>
    </row>
    <row r="673" spans="1:8" ht="14.25" x14ac:dyDescent="0.2">
      <c r="A673" s="103"/>
      <c r="D673" s="104"/>
      <c r="H673" s="99"/>
    </row>
    <row r="674" spans="1:8" ht="14.25" x14ac:dyDescent="0.2">
      <c r="A674" s="103"/>
      <c r="D674" s="104"/>
      <c r="H674" s="99"/>
    </row>
    <row r="675" spans="1:8" ht="14.25" x14ac:dyDescent="0.2">
      <c r="A675" s="103"/>
      <c r="D675" s="104"/>
      <c r="H675" s="99"/>
    </row>
    <row r="676" spans="1:8" ht="14.25" x14ac:dyDescent="0.2">
      <c r="A676" s="103"/>
      <c r="D676" s="104"/>
      <c r="H676" s="99"/>
    </row>
    <row r="677" spans="1:8" ht="14.25" x14ac:dyDescent="0.2">
      <c r="A677" s="103"/>
      <c r="D677" s="104"/>
      <c r="H677" s="99"/>
    </row>
    <row r="678" spans="1:8" ht="14.25" x14ac:dyDescent="0.2">
      <c r="A678" s="103"/>
      <c r="D678" s="104"/>
      <c r="H678" s="99"/>
    </row>
    <row r="679" spans="1:8" ht="14.25" x14ac:dyDescent="0.2">
      <c r="A679" s="103"/>
      <c r="D679" s="104"/>
      <c r="H679" s="99"/>
    </row>
    <row r="680" spans="1:8" ht="14.25" x14ac:dyDescent="0.2">
      <c r="A680" s="103"/>
      <c r="D680" s="104"/>
      <c r="H680" s="99"/>
    </row>
    <row r="681" spans="1:8" ht="14.25" x14ac:dyDescent="0.2">
      <c r="A681" s="103"/>
      <c r="D681" s="104"/>
      <c r="H681" s="99"/>
    </row>
    <row r="682" spans="1:8" ht="14.25" x14ac:dyDescent="0.2">
      <c r="A682" s="103"/>
      <c r="D682" s="104"/>
      <c r="H682" s="99"/>
    </row>
    <row r="683" spans="1:8" ht="14.25" x14ac:dyDescent="0.2">
      <c r="A683" s="103"/>
      <c r="D683" s="104"/>
      <c r="H683" s="99"/>
    </row>
    <row r="684" spans="1:8" ht="14.25" x14ac:dyDescent="0.2">
      <c r="A684" s="103"/>
      <c r="D684" s="104"/>
      <c r="H684" s="99"/>
    </row>
    <row r="685" spans="1:8" ht="14.25" x14ac:dyDescent="0.2">
      <c r="A685" s="103"/>
      <c r="D685" s="104"/>
      <c r="H685" s="99"/>
    </row>
    <row r="686" spans="1:8" ht="14.25" x14ac:dyDescent="0.2">
      <c r="A686" s="103"/>
      <c r="D686" s="104"/>
      <c r="H686" s="99"/>
    </row>
    <row r="687" spans="1:8" ht="14.25" x14ac:dyDescent="0.2">
      <c r="A687" s="103"/>
      <c r="D687" s="104"/>
      <c r="H687" s="99"/>
    </row>
    <row r="688" spans="1:8" ht="14.25" x14ac:dyDescent="0.2">
      <c r="A688" s="103"/>
      <c r="D688" s="104"/>
      <c r="H688" s="99"/>
    </row>
    <row r="689" spans="1:8" ht="14.25" x14ac:dyDescent="0.2">
      <c r="A689" s="103"/>
      <c r="D689" s="104"/>
      <c r="H689" s="99"/>
    </row>
    <row r="690" spans="1:8" ht="14.25" x14ac:dyDescent="0.2">
      <c r="A690" s="103"/>
      <c r="D690" s="104"/>
      <c r="H690" s="99"/>
    </row>
    <row r="691" spans="1:8" ht="14.25" x14ac:dyDescent="0.2">
      <c r="A691" s="103"/>
      <c r="D691" s="104"/>
      <c r="H691" s="99"/>
    </row>
    <row r="692" spans="1:8" ht="14.25" x14ac:dyDescent="0.2">
      <c r="A692" s="103"/>
      <c r="D692" s="104"/>
      <c r="H692" s="99"/>
    </row>
    <row r="693" spans="1:8" ht="14.25" x14ac:dyDescent="0.2">
      <c r="A693" s="103"/>
      <c r="D693" s="104"/>
      <c r="H693" s="99"/>
    </row>
    <row r="694" spans="1:8" ht="14.25" x14ac:dyDescent="0.2">
      <c r="A694" s="103"/>
      <c r="D694" s="104"/>
      <c r="H694" s="99"/>
    </row>
    <row r="695" spans="1:8" ht="14.25" x14ac:dyDescent="0.2">
      <c r="A695" s="103"/>
      <c r="D695" s="104"/>
      <c r="H695" s="99"/>
    </row>
    <row r="696" spans="1:8" ht="14.25" x14ac:dyDescent="0.2">
      <c r="A696" s="103"/>
      <c r="D696" s="104"/>
      <c r="H696" s="99"/>
    </row>
    <row r="697" spans="1:8" ht="14.25" x14ac:dyDescent="0.2">
      <c r="A697" s="103"/>
      <c r="D697" s="104"/>
      <c r="H697" s="99"/>
    </row>
    <row r="698" spans="1:8" ht="14.25" x14ac:dyDescent="0.2">
      <c r="A698" s="103"/>
      <c r="D698" s="104"/>
      <c r="H698" s="99"/>
    </row>
    <row r="699" spans="1:8" ht="14.25" x14ac:dyDescent="0.2">
      <c r="A699" s="103"/>
      <c r="D699" s="104"/>
      <c r="H699" s="99"/>
    </row>
    <row r="700" spans="1:8" ht="14.25" x14ac:dyDescent="0.2">
      <c r="A700" s="103"/>
      <c r="D700" s="104"/>
      <c r="H700" s="99"/>
    </row>
    <row r="701" spans="1:8" ht="14.25" x14ac:dyDescent="0.2">
      <c r="A701" s="103"/>
      <c r="D701" s="104"/>
      <c r="H701" s="99"/>
    </row>
    <row r="702" spans="1:8" ht="14.25" x14ac:dyDescent="0.2">
      <c r="A702" s="103"/>
      <c r="D702" s="104"/>
      <c r="H702" s="99"/>
    </row>
    <row r="703" spans="1:8" ht="14.25" x14ac:dyDescent="0.2">
      <c r="A703" s="103"/>
      <c r="D703" s="104"/>
      <c r="H703" s="99"/>
    </row>
    <row r="704" spans="1:8" ht="14.25" x14ac:dyDescent="0.2">
      <c r="A704" s="103"/>
      <c r="D704" s="104"/>
      <c r="H704" s="99"/>
    </row>
    <row r="705" spans="1:8" ht="14.25" x14ac:dyDescent="0.2">
      <c r="A705" s="103"/>
      <c r="D705" s="104"/>
      <c r="H705" s="99"/>
    </row>
    <row r="706" spans="1:8" ht="14.25" x14ac:dyDescent="0.2">
      <c r="A706" s="103"/>
      <c r="D706" s="104"/>
      <c r="H706" s="99"/>
    </row>
    <row r="707" spans="1:8" ht="14.25" x14ac:dyDescent="0.2">
      <c r="A707" s="103"/>
      <c r="D707" s="104"/>
      <c r="H707" s="99"/>
    </row>
    <row r="708" spans="1:8" ht="14.25" x14ac:dyDescent="0.2">
      <c r="A708" s="103"/>
      <c r="D708" s="104"/>
      <c r="H708" s="99"/>
    </row>
    <row r="709" spans="1:8" ht="14.25" x14ac:dyDescent="0.2">
      <c r="A709" s="103"/>
      <c r="D709" s="104"/>
      <c r="H709" s="99"/>
    </row>
    <row r="710" spans="1:8" ht="14.25" x14ac:dyDescent="0.2">
      <c r="A710" s="103"/>
      <c r="D710" s="104"/>
      <c r="H710" s="99"/>
    </row>
    <row r="711" spans="1:8" ht="14.25" x14ac:dyDescent="0.2">
      <c r="A711" s="103"/>
      <c r="D711" s="104"/>
      <c r="H711" s="99"/>
    </row>
    <row r="712" spans="1:8" ht="14.25" x14ac:dyDescent="0.2">
      <c r="A712" s="103"/>
      <c r="D712" s="104"/>
      <c r="H712" s="99"/>
    </row>
    <row r="713" spans="1:8" ht="14.25" x14ac:dyDescent="0.2">
      <c r="A713" s="103"/>
      <c r="D713" s="104"/>
      <c r="H713" s="99"/>
    </row>
    <row r="714" spans="1:8" ht="14.25" x14ac:dyDescent="0.2">
      <c r="A714" s="103"/>
      <c r="D714" s="104"/>
      <c r="H714" s="99"/>
    </row>
    <row r="715" spans="1:8" ht="14.25" x14ac:dyDescent="0.2">
      <c r="A715" s="103"/>
      <c r="D715" s="104"/>
      <c r="H715" s="99"/>
    </row>
    <row r="716" spans="1:8" ht="14.25" x14ac:dyDescent="0.2">
      <c r="A716" s="103"/>
      <c r="D716" s="104"/>
      <c r="H716" s="99"/>
    </row>
    <row r="717" spans="1:8" ht="14.25" x14ac:dyDescent="0.2">
      <c r="A717" s="103"/>
      <c r="D717" s="104"/>
      <c r="H717" s="99"/>
    </row>
    <row r="718" spans="1:8" ht="14.25" x14ac:dyDescent="0.2">
      <c r="A718" s="103"/>
      <c r="D718" s="104"/>
      <c r="H718" s="99"/>
    </row>
    <row r="719" spans="1:8" ht="14.25" x14ac:dyDescent="0.2">
      <c r="A719" s="103"/>
      <c r="D719" s="104"/>
      <c r="H719" s="99"/>
    </row>
    <row r="720" spans="1:8" ht="14.25" x14ac:dyDescent="0.2">
      <c r="A720" s="103"/>
      <c r="D720" s="104"/>
      <c r="H720" s="99"/>
    </row>
    <row r="721" spans="1:8" ht="14.25" x14ac:dyDescent="0.2">
      <c r="A721" s="103"/>
      <c r="D721" s="104"/>
      <c r="H721" s="99"/>
    </row>
    <row r="722" spans="1:8" ht="14.25" x14ac:dyDescent="0.2">
      <c r="A722" s="103"/>
      <c r="D722" s="104"/>
      <c r="H722" s="99"/>
    </row>
    <row r="723" spans="1:8" ht="14.25" x14ac:dyDescent="0.2">
      <c r="A723" s="103"/>
      <c r="D723" s="104"/>
      <c r="H723" s="99"/>
    </row>
    <row r="724" spans="1:8" ht="14.25" x14ac:dyDescent="0.2">
      <c r="A724" s="103"/>
      <c r="D724" s="104"/>
      <c r="H724" s="99"/>
    </row>
    <row r="725" spans="1:8" ht="14.25" x14ac:dyDescent="0.2">
      <c r="A725" s="103"/>
      <c r="D725" s="104"/>
      <c r="H725" s="99"/>
    </row>
    <row r="726" spans="1:8" ht="14.25" x14ac:dyDescent="0.2">
      <c r="A726" s="103"/>
      <c r="D726" s="104"/>
      <c r="H726" s="99"/>
    </row>
    <row r="727" spans="1:8" ht="14.25" x14ac:dyDescent="0.2">
      <c r="A727" s="103"/>
      <c r="D727" s="104"/>
      <c r="H727" s="99"/>
    </row>
    <row r="728" spans="1:8" ht="14.25" x14ac:dyDescent="0.2">
      <c r="A728" s="103"/>
      <c r="D728" s="104"/>
      <c r="H728" s="99"/>
    </row>
    <row r="729" spans="1:8" ht="14.25" x14ac:dyDescent="0.2">
      <c r="A729" s="103"/>
      <c r="D729" s="104"/>
      <c r="H729" s="99"/>
    </row>
    <row r="730" spans="1:8" ht="14.25" x14ac:dyDescent="0.2">
      <c r="A730" s="103"/>
      <c r="D730" s="104"/>
      <c r="H730" s="99"/>
    </row>
    <row r="731" spans="1:8" ht="14.25" x14ac:dyDescent="0.2">
      <c r="A731" s="103"/>
      <c r="D731" s="104"/>
      <c r="H731" s="99"/>
    </row>
    <row r="732" spans="1:8" ht="14.25" x14ac:dyDescent="0.2">
      <c r="A732" s="103"/>
      <c r="D732" s="104"/>
      <c r="H732" s="99"/>
    </row>
    <row r="733" spans="1:8" ht="14.25" x14ac:dyDescent="0.2">
      <c r="A733" s="103"/>
      <c r="D733" s="104"/>
      <c r="H733" s="99"/>
    </row>
    <row r="734" spans="1:8" ht="14.25" x14ac:dyDescent="0.2">
      <c r="A734" s="103"/>
      <c r="D734" s="104"/>
      <c r="H734" s="99"/>
    </row>
    <row r="735" spans="1:8" ht="14.25" x14ac:dyDescent="0.2">
      <c r="A735" s="103"/>
      <c r="D735" s="104"/>
      <c r="H735" s="99"/>
    </row>
    <row r="736" spans="1:8" ht="14.25" x14ac:dyDescent="0.2">
      <c r="A736" s="103"/>
      <c r="D736" s="104"/>
      <c r="H736" s="99"/>
    </row>
    <row r="737" spans="1:8" ht="14.25" x14ac:dyDescent="0.2">
      <c r="A737" s="103"/>
      <c r="D737" s="104"/>
      <c r="H737" s="99"/>
    </row>
    <row r="738" spans="1:8" ht="14.25" x14ac:dyDescent="0.2">
      <c r="A738" s="103"/>
      <c r="D738" s="104"/>
      <c r="H738" s="99"/>
    </row>
    <row r="739" spans="1:8" ht="14.25" x14ac:dyDescent="0.2">
      <c r="A739" s="103"/>
      <c r="D739" s="104"/>
      <c r="H739" s="99"/>
    </row>
    <row r="740" spans="1:8" ht="14.25" x14ac:dyDescent="0.2">
      <c r="A740" s="103"/>
      <c r="D740" s="104"/>
      <c r="H740" s="99"/>
    </row>
    <row r="741" spans="1:8" ht="14.25" x14ac:dyDescent="0.2">
      <c r="A741" s="103"/>
      <c r="D741" s="104"/>
      <c r="H741" s="99"/>
    </row>
    <row r="742" spans="1:8" ht="14.25" x14ac:dyDescent="0.2">
      <c r="A742" s="103"/>
      <c r="D742" s="104"/>
      <c r="H742" s="99"/>
    </row>
    <row r="743" spans="1:8" ht="14.25" x14ac:dyDescent="0.2">
      <c r="A743" s="103"/>
      <c r="D743" s="104"/>
      <c r="H743" s="99"/>
    </row>
    <row r="744" spans="1:8" ht="14.25" x14ac:dyDescent="0.2">
      <c r="A744" s="103"/>
      <c r="D744" s="104"/>
      <c r="H744" s="99"/>
    </row>
    <row r="745" spans="1:8" ht="14.25" x14ac:dyDescent="0.2">
      <c r="A745" s="103"/>
      <c r="D745" s="104"/>
      <c r="H745" s="99"/>
    </row>
    <row r="746" spans="1:8" ht="14.25" x14ac:dyDescent="0.2">
      <c r="A746" s="103"/>
      <c r="D746" s="104"/>
      <c r="H746" s="99"/>
    </row>
    <row r="747" spans="1:8" ht="14.25" x14ac:dyDescent="0.2">
      <c r="A747" s="103"/>
      <c r="D747" s="104"/>
      <c r="H747" s="99"/>
    </row>
    <row r="748" spans="1:8" ht="14.25" x14ac:dyDescent="0.2">
      <c r="A748" s="103"/>
      <c r="D748" s="104"/>
      <c r="H748" s="99"/>
    </row>
    <row r="749" spans="1:8" ht="14.25" x14ac:dyDescent="0.2">
      <c r="A749" s="103"/>
      <c r="D749" s="104"/>
      <c r="H749" s="99"/>
    </row>
    <row r="750" spans="1:8" ht="14.25" x14ac:dyDescent="0.2">
      <c r="A750" s="103"/>
      <c r="D750" s="104"/>
      <c r="H750" s="99"/>
    </row>
    <row r="751" spans="1:8" ht="14.25" x14ac:dyDescent="0.2">
      <c r="A751" s="103"/>
      <c r="D751" s="104"/>
      <c r="H751" s="99"/>
    </row>
    <row r="752" spans="1:8" ht="14.25" x14ac:dyDescent="0.2">
      <c r="A752" s="103"/>
      <c r="D752" s="104"/>
      <c r="H752" s="99"/>
    </row>
    <row r="753" spans="1:8" ht="14.25" x14ac:dyDescent="0.2">
      <c r="A753" s="103"/>
      <c r="D753" s="104"/>
      <c r="H753" s="99"/>
    </row>
    <row r="754" spans="1:8" ht="14.25" x14ac:dyDescent="0.2">
      <c r="A754" s="103"/>
      <c r="D754" s="104"/>
      <c r="H754" s="99"/>
    </row>
    <row r="755" spans="1:8" ht="14.25" x14ac:dyDescent="0.2">
      <c r="A755" s="103"/>
      <c r="D755" s="104"/>
      <c r="H755" s="99"/>
    </row>
    <row r="756" spans="1:8" ht="14.25" x14ac:dyDescent="0.2">
      <c r="A756" s="103"/>
      <c r="D756" s="104"/>
      <c r="H756" s="99"/>
    </row>
    <row r="757" spans="1:8" ht="14.25" x14ac:dyDescent="0.2">
      <c r="A757" s="103"/>
      <c r="D757" s="104"/>
      <c r="H757" s="99"/>
    </row>
    <row r="758" spans="1:8" ht="14.25" x14ac:dyDescent="0.2">
      <c r="A758" s="103"/>
      <c r="D758" s="104"/>
      <c r="H758" s="99"/>
    </row>
    <row r="759" spans="1:8" ht="14.25" x14ac:dyDescent="0.2">
      <c r="A759" s="103"/>
      <c r="D759" s="104"/>
      <c r="H759" s="99"/>
    </row>
    <row r="760" spans="1:8" ht="14.25" x14ac:dyDescent="0.2">
      <c r="A760" s="103"/>
      <c r="D760" s="104"/>
      <c r="H760" s="99"/>
    </row>
    <row r="761" spans="1:8" ht="14.25" x14ac:dyDescent="0.2">
      <c r="A761" s="103"/>
      <c r="D761" s="104"/>
      <c r="H761" s="99"/>
    </row>
    <row r="762" spans="1:8" ht="14.25" x14ac:dyDescent="0.2">
      <c r="A762" s="103"/>
      <c r="D762" s="104"/>
      <c r="H762" s="99"/>
    </row>
    <row r="763" spans="1:8" ht="14.25" x14ac:dyDescent="0.2">
      <c r="A763" s="103"/>
      <c r="D763" s="104"/>
      <c r="H763" s="99"/>
    </row>
    <row r="764" spans="1:8" ht="14.25" x14ac:dyDescent="0.2">
      <c r="A764" s="103"/>
      <c r="D764" s="104"/>
      <c r="H764" s="99"/>
    </row>
    <row r="765" spans="1:8" ht="14.25" x14ac:dyDescent="0.2">
      <c r="A765" s="103"/>
      <c r="D765" s="104"/>
      <c r="H765" s="99"/>
    </row>
    <row r="766" spans="1:8" ht="14.25" x14ac:dyDescent="0.2">
      <c r="A766" s="103"/>
      <c r="D766" s="104"/>
      <c r="H766" s="99"/>
    </row>
    <row r="767" spans="1:8" ht="14.25" x14ac:dyDescent="0.2">
      <c r="A767" s="103"/>
      <c r="D767" s="104"/>
      <c r="H767" s="99"/>
    </row>
    <row r="768" spans="1:8" ht="14.25" x14ac:dyDescent="0.2">
      <c r="A768" s="103"/>
      <c r="D768" s="104"/>
      <c r="H768" s="99"/>
    </row>
    <row r="769" spans="1:8" ht="14.25" x14ac:dyDescent="0.2">
      <c r="A769" s="103"/>
      <c r="D769" s="104"/>
      <c r="H769" s="99"/>
    </row>
    <row r="770" spans="1:8" ht="14.25" x14ac:dyDescent="0.2">
      <c r="A770" s="103"/>
      <c r="D770" s="104"/>
      <c r="H770" s="99"/>
    </row>
    <row r="771" spans="1:8" ht="14.25" x14ac:dyDescent="0.2">
      <c r="A771" s="103"/>
      <c r="D771" s="104"/>
      <c r="H771" s="99"/>
    </row>
    <row r="772" spans="1:8" ht="14.25" x14ac:dyDescent="0.2">
      <c r="A772" s="103"/>
      <c r="D772" s="104"/>
      <c r="H772" s="99"/>
    </row>
    <row r="773" spans="1:8" ht="14.25" x14ac:dyDescent="0.2">
      <c r="A773" s="103"/>
      <c r="D773" s="104"/>
      <c r="H773" s="99"/>
    </row>
    <row r="774" spans="1:8" ht="14.25" x14ac:dyDescent="0.2">
      <c r="A774" s="103"/>
      <c r="D774" s="104"/>
      <c r="H774" s="99"/>
    </row>
    <row r="775" spans="1:8" ht="14.25" x14ac:dyDescent="0.2">
      <c r="A775" s="103"/>
      <c r="D775" s="104"/>
      <c r="H775" s="99"/>
    </row>
    <row r="776" spans="1:8" ht="14.25" x14ac:dyDescent="0.2">
      <c r="A776" s="103"/>
      <c r="D776" s="104"/>
      <c r="H776" s="99"/>
    </row>
    <row r="777" spans="1:8" ht="14.25" x14ac:dyDescent="0.2">
      <c r="A777" s="103"/>
      <c r="D777" s="104"/>
      <c r="H777" s="99"/>
    </row>
    <row r="778" spans="1:8" ht="14.25" x14ac:dyDescent="0.2">
      <c r="A778" s="103"/>
      <c r="D778" s="104"/>
      <c r="H778" s="99"/>
    </row>
    <row r="779" spans="1:8" ht="14.25" x14ac:dyDescent="0.2">
      <c r="A779" s="103"/>
      <c r="D779" s="104"/>
      <c r="H779" s="99"/>
    </row>
    <row r="780" spans="1:8" ht="14.25" x14ac:dyDescent="0.2">
      <c r="A780" s="103"/>
      <c r="D780" s="104"/>
      <c r="H780" s="99"/>
    </row>
    <row r="781" spans="1:8" ht="14.25" x14ac:dyDescent="0.2">
      <c r="A781" s="103"/>
      <c r="D781" s="104"/>
      <c r="H781" s="99"/>
    </row>
    <row r="782" spans="1:8" ht="14.25" x14ac:dyDescent="0.2">
      <c r="A782" s="103"/>
      <c r="D782" s="104"/>
      <c r="H782" s="99"/>
    </row>
    <row r="783" spans="1:8" ht="14.25" x14ac:dyDescent="0.2">
      <c r="A783" s="103"/>
      <c r="D783" s="104"/>
      <c r="H783" s="99"/>
    </row>
    <row r="784" spans="1:8" ht="14.25" x14ac:dyDescent="0.2">
      <c r="A784" s="103"/>
      <c r="D784" s="104"/>
      <c r="H784" s="99"/>
    </row>
    <row r="785" spans="1:8" ht="14.25" x14ac:dyDescent="0.2">
      <c r="A785" s="103"/>
      <c r="D785" s="104"/>
      <c r="H785" s="99"/>
    </row>
    <row r="786" spans="1:8" ht="14.25" x14ac:dyDescent="0.2">
      <c r="A786" s="103"/>
      <c r="D786" s="104"/>
      <c r="H786" s="99"/>
    </row>
    <row r="787" spans="1:8" ht="14.25" x14ac:dyDescent="0.2">
      <c r="A787" s="103"/>
      <c r="D787" s="104"/>
      <c r="H787" s="99"/>
    </row>
    <row r="788" spans="1:8" ht="14.25" x14ac:dyDescent="0.2">
      <c r="A788" s="103"/>
      <c r="D788" s="104"/>
      <c r="H788" s="99"/>
    </row>
    <row r="789" spans="1:8" ht="14.25" x14ac:dyDescent="0.2">
      <c r="A789" s="103"/>
      <c r="D789" s="104"/>
      <c r="H789" s="99"/>
    </row>
    <row r="790" spans="1:8" ht="14.25" x14ac:dyDescent="0.2">
      <c r="A790" s="103"/>
      <c r="D790" s="104"/>
      <c r="H790" s="99"/>
    </row>
    <row r="791" spans="1:8" ht="14.25" x14ac:dyDescent="0.2">
      <c r="A791" s="103"/>
      <c r="D791" s="104"/>
      <c r="H791" s="99"/>
    </row>
    <row r="792" spans="1:8" ht="14.25" x14ac:dyDescent="0.2">
      <c r="A792" s="103"/>
      <c r="D792" s="104"/>
      <c r="H792" s="99"/>
    </row>
    <row r="793" spans="1:8" ht="14.25" x14ac:dyDescent="0.2">
      <c r="A793" s="103"/>
      <c r="D793" s="104"/>
      <c r="H793" s="99"/>
    </row>
    <row r="794" spans="1:8" ht="14.25" x14ac:dyDescent="0.2">
      <c r="A794" s="103"/>
      <c r="D794" s="104"/>
      <c r="H794" s="99"/>
    </row>
    <row r="795" spans="1:8" ht="14.25" x14ac:dyDescent="0.2">
      <c r="A795" s="103"/>
      <c r="D795" s="104"/>
      <c r="H795" s="99"/>
    </row>
    <row r="796" spans="1:8" ht="14.25" x14ac:dyDescent="0.2">
      <c r="A796" s="103"/>
      <c r="D796" s="104"/>
      <c r="H796" s="99"/>
    </row>
    <row r="797" spans="1:8" ht="14.25" x14ac:dyDescent="0.2">
      <c r="A797" s="103"/>
      <c r="D797" s="104"/>
      <c r="H797" s="99"/>
    </row>
    <row r="798" spans="1:8" ht="14.25" x14ac:dyDescent="0.2">
      <c r="A798" s="103"/>
      <c r="D798" s="104"/>
      <c r="H798" s="99"/>
    </row>
    <row r="799" spans="1:8" ht="14.25" x14ac:dyDescent="0.2">
      <c r="A799" s="103"/>
      <c r="D799" s="104"/>
      <c r="H799" s="99"/>
    </row>
    <row r="800" spans="1:8" ht="14.25" x14ac:dyDescent="0.2">
      <c r="A800" s="103"/>
      <c r="D800" s="104"/>
      <c r="H800" s="99"/>
    </row>
    <row r="801" spans="1:8" ht="14.25" x14ac:dyDescent="0.2">
      <c r="A801" s="103"/>
      <c r="D801" s="104"/>
      <c r="H801" s="99"/>
    </row>
    <row r="802" spans="1:8" ht="14.25" x14ac:dyDescent="0.2">
      <c r="A802" s="103"/>
      <c r="D802" s="104"/>
      <c r="H802" s="99"/>
    </row>
    <row r="803" spans="1:8" ht="14.25" x14ac:dyDescent="0.2">
      <c r="A803" s="103"/>
      <c r="D803" s="104"/>
      <c r="H803" s="99"/>
    </row>
    <row r="804" spans="1:8" ht="14.25" x14ac:dyDescent="0.2">
      <c r="A804" s="103"/>
      <c r="D804" s="104"/>
      <c r="H804" s="99"/>
    </row>
    <row r="805" spans="1:8" ht="14.25" x14ac:dyDescent="0.2">
      <c r="A805" s="103"/>
      <c r="D805" s="104"/>
      <c r="H805" s="99"/>
    </row>
    <row r="806" spans="1:8" ht="14.25" x14ac:dyDescent="0.2">
      <c r="A806" s="103"/>
      <c r="D806" s="104"/>
      <c r="H806" s="99"/>
    </row>
    <row r="807" spans="1:8" ht="14.25" x14ac:dyDescent="0.2">
      <c r="A807" s="103"/>
      <c r="D807" s="104"/>
      <c r="H807" s="99"/>
    </row>
    <row r="808" spans="1:8" ht="14.25" x14ac:dyDescent="0.2">
      <c r="A808" s="103"/>
      <c r="D808" s="104"/>
      <c r="H808" s="99"/>
    </row>
    <row r="809" spans="1:8" ht="14.25" x14ac:dyDescent="0.2">
      <c r="A809" s="103"/>
      <c r="D809" s="104"/>
      <c r="H809" s="99"/>
    </row>
    <row r="810" spans="1:8" ht="14.25" x14ac:dyDescent="0.2">
      <c r="A810" s="103"/>
      <c r="D810" s="104"/>
      <c r="H810" s="99"/>
    </row>
    <row r="811" spans="1:8" ht="14.25" x14ac:dyDescent="0.2">
      <c r="A811" s="103"/>
      <c r="D811" s="104"/>
      <c r="H811" s="99"/>
    </row>
    <row r="812" spans="1:8" ht="14.25" x14ac:dyDescent="0.2">
      <c r="A812" s="103"/>
      <c r="D812" s="104"/>
      <c r="H812" s="99"/>
    </row>
    <row r="813" spans="1:8" ht="14.25" x14ac:dyDescent="0.2">
      <c r="A813" s="103"/>
      <c r="D813" s="104"/>
      <c r="H813" s="99"/>
    </row>
    <row r="814" spans="1:8" ht="14.25" x14ac:dyDescent="0.2">
      <c r="A814" s="103"/>
      <c r="D814" s="104"/>
      <c r="H814" s="99"/>
    </row>
    <row r="815" spans="1:8" ht="14.25" x14ac:dyDescent="0.2">
      <c r="A815" s="103"/>
      <c r="D815" s="104"/>
      <c r="H815" s="99"/>
    </row>
    <row r="816" spans="1:8" ht="14.25" x14ac:dyDescent="0.2">
      <c r="A816" s="103"/>
      <c r="D816" s="104"/>
      <c r="H816" s="99"/>
    </row>
    <row r="817" spans="1:8" ht="14.25" x14ac:dyDescent="0.2">
      <c r="A817" s="103"/>
      <c r="D817" s="104"/>
      <c r="H817" s="99"/>
    </row>
    <row r="818" spans="1:8" ht="14.25" x14ac:dyDescent="0.2">
      <c r="A818" s="103"/>
      <c r="D818" s="104"/>
      <c r="H818" s="99"/>
    </row>
    <row r="819" spans="1:8" ht="14.25" x14ac:dyDescent="0.2">
      <c r="A819" s="103"/>
      <c r="D819" s="104"/>
      <c r="H819" s="99"/>
    </row>
    <row r="820" spans="1:8" ht="14.25" x14ac:dyDescent="0.2">
      <c r="A820" s="103"/>
      <c r="D820" s="104"/>
      <c r="H820" s="99"/>
    </row>
    <row r="821" spans="1:8" ht="14.25" x14ac:dyDescent="0.2">
      <c r="A821" s="103"/>
      <c r="D821" s="104"/>
      <c r="H821" s="99"/>
    </row>
    <row r="822" spans="1:8" ht="14.25" x14ac:dyDescent="0.2">
      <c r="A822" s="103"/>
      <c r="D822" s="104"/>
      <c r="H822" s="99"/>
    </row>
    <row r="823" spans="1:8" ht="14.25" x14ac:dyDescent="0.2">
      <c r="A823" s="103"/>
      <c r="D823" s="104"/>
      <c r="H823" s="99"/>
    </row>
    <row r="824" spans="1:8" ht="14.25" x14ac:dyDescent="0.2">
      <c r="A824" s="103"/>
      <c r="D824" s="104"/>
      <c r="H824" s="99"/>
    </row>
    <row r="825" spans="1:8" ht="14.25" x14ac:dyDescent="0.2">
      <c r="A825" s="103"/>
      <c r="D825" s="104"/>
      <c r="H825" s="99"/>
    </row>
    <row r="826" spans="1:8" ht="14.25" x14ac:dyDescent="0.2">
      <c r="A826" s="103"/>
      <c r="D826" s="104"/>
      <c r="H826" s="99"/>
    </row>
    <row r="827" spans="1:8" ht="14.25" x14ac:dyDescent="0.2">
      <c r="A827" s="103"/>
      <c r="D827" s="104"/>
      <c r="H827" s="99"/>
    </row>
    <row r="828" spans="1:8" ht="14.25" x14ac:dyDescent="0.2">
      <c r="A828" s="103"/>
      <c r="D828" s="104"/>
      <c r="H828" s="99"/>
    </row>
    <row r="829" spans="1:8" ht="14.25" x14ac:dyDescent="0.2">
      <c r="A829" s="103"/>
      <c r="D829" s="104"/>
      <c r="H829" s="99"/>
    </row>
    <row r="830" spans="1:8" ht="14.25" x14ac:dyDescent="0.2">
      <c r="A830" s="103"/>
      <c r="D830" s="104"/>
      <c r="H830" s="99"/>
    </row>
    <row r="831" spans="1:8" ht="14.25" x14ac:dyDescent="0.2">
      <c r="A831" s="103"/>
      <c r="D831" s="104"/>
      <c r="H831" s="99"/>
    </row>
    <row r="832" spans="1:8" ht="14.25" x14ac:dyDescent="0.2">
      <c r="A832" s="103"/>
      <c r="D832" s="104"/>
      <c r="H832" s="99"/>
    </row>
    <row r="833" spans="1:8" ht="14.25" x14ac:dyDescent="0.2">
      <c r="A833" s="103"/>
      <c r="D833" s="104"/>
      <c r="H833" s="99"/>
    </row>
    <row r="834" spans="1:8" ht="14.25" x14ac:dyDescent="0.2">
      <c r="A834" s="103"/>
      <c r="D834" s="104"/>
      <c r="H834" s="99"/>
    </row>
    <row r="835" spans="1:8" ht="14.25" x14ac:dyDescent="0.2">
      <c r="A835" s="103"/>
      <c r="D835" s="104"/>
      <c r="H835" s="99"/>
    </row>
    <row r="836" spans="1:8" ht="14.25" x14ac:dyDescent="0.2">
      <c r="A836" s="103"/>
      <c r="D836" s="104"/>
      <c r="H836" s="99"/>
    </row>
    <row r="837" spans="1:8" ht="14.25" x14ac:dyDescent="0.2">
      <c r="A837" s="103"/>
      <c r="D837" s="104"/>
      <c r="H837" s="99"/>
    </row>
    <row r="838" spans="1:8" ht="14.25" x14ac:dyDescent="0.2">
      <c r="A838" s="103"/>
      <c r="D838" s="104"/>
      <c r="H838" s="99"/>
    </row>
    <row r="839" spans="1:8" ht="14.25" x14ac:dyDescent="0.2">
      <c r="A839" s="103"/>
      <c r="D839" s="104"/>
      <c r="H839" s="99"/>
    </row>
    <row r="840" spans="1:8" ht="14.25" x14ac:dyDescent="0.2">
      <c r="A840" s="103"/>
      <c r="D840" s="104"/>
      <c r="H840" s="99"/>
    </row>
    <row r="841" spans="1:8" ht="14.25" x14ac:dyDescent="0.2">
      <c r="A841" s="103"/>
      <c r="D841" s="104"/>
      <c r="H841" s="99"/>
    </row>
    <row r="842" spans="1:8" ht="14.25" x14ac:dyDescent="0.2">
      <c r="A842" s="103"/>
      <c r="D842" s="104"/>
      <c r="H842" s="99"/>
    </row>
    <row r="843" spans="1:8" ht="14.25" x14ac:dyDescent="0.2">
      <c r="A843" s="103"/>
      <c r="D843" s="104"/>
      <c r="H843" s="99"/>
    </row>
    <row r="844" spans="1:8" ht="14.25" x14ac:dyDescent="0.2">
      <c r="A844" s="103"/>
      <c r="D844" s="104"/>
      <c r="H844" s="99"/>
    </row>
    <row r="845" spans="1:8" ht="14.25" x14ac:dyDescent="0.2">
      <c r="A845" s="103"/>
      <c r="D845" s="104"/>
      <c r="H845" s="99"/>
    </row>
    <row r="846" spans="1:8" ht="14.25" x14ac:dyDescent="0.2">
      <c r="A846" s="103"/>
      <c r="D846" s="104"/>
      <c r="H846" s="99"/>
    </row>
    <row r="847" spans="1:8" ht="14.25" x14ac:dyDescent="0.2">
      <c r="A847" s="103"/>
      <c r="D847" s="104"/>
      <c r="H847" s="99"/>
    </row>
    <row r="848" spans="1:8" ht="14.25" x14ac:dyDescent="0.2">
      <c r="A848" s="103"/>
      <c r="D848" s="104"/>
      <c r="H848" s="99"/>
    </row>
    <row r="849" spans="1:8" ht="14.25" x14ac:dyDescent="0.2">
      <c r="A849" s="103"/>
      <c r="D849" s="104"/>
      <c r="H849" s="99"/>
    </row>
    <row r="850" spans="1:8" ht="14.25" x14ac:dyDescent="0.2">
      <c r="A850" s="103"/>
      <c r="D850" s="104"/>
      <c r="H850" s="99"/>
    </row>
    <row r="851" spans="1:8" ht="14.25" x14ac:dyDescent="0.2">
      <c r="A851" s="103"/>
      <c r="D851" s="104"/>
      <c r="H851" s="99"/>
    </row>
    <row r="852" spans="1:8" ht="14.25" x14ac:dyDescent="0.2">
      <c r="A852" s="103"/>
      <c r="D852" s="104"/>
      <c r="H852" s="99"/>
    </row>
    <row r="853" spans="1:8" ht="14.25" x14ac:dyDescent="0.2">
      <c r="A853" s="103"/>
      <c r="D853" s="104"/>
      <c r="H853" s="99"/>
    </row>
    <row r="854" spans="1:8" ht="14.25" x14ac:dyDescent="0.2">
      <c r="A854" s="103"/>
      <c r="D854" s="104"/>
      <c r="H854" s="99"/>
    </row>
    <row r="855" spans="1:8" ht="14.25" x14ac:dyDescent="0.2">
      <c r="A855" s="103"/>
      <c r="D855" s="104"/>
      <c r="H855" s="99"/>
    </row>
    <row r="856" spans="1:8" ht="14.25" x14ac:dyDescent="0.2">
      <c r="A856" s="103"/>
      <c r="D856" s="104"/>
      <c r="H856" s="99"/>
    </row>
    <row r="857" spans="1:8" ht="14.25" x14ac:dyDescent="0.2">
      <c r="A857" s="103"/>
      <c r="D857" s="104"/>
      <c r="H857" s="99"/>
    </row>
    <row r="858" spans="1:8" ht="14.25" x14ac:dyDescent="0.2">
      <c r="A858" s="103"/>
      <c r="D858" s="104"/>
      <c r="H858" s="99"/>
    </row>
    <row r="859" spans="1:8" ht="14.25" x14ac:dyDescent="0.2">
      <c r="A859" s="103"/>
      <c r="D859" s="104"/>
      <c r="H859" s="99"/>
    </row>
    <row r="860" spans="1:8" ht="14.25" x14ac:dyDescent="0.2">
      <c r="A860" s="103"/>
      <c r="D860" s="104"/>
      <c r="H860" s="99"/>
    </row>
    <row r="861" spans="1:8" ht="14.25" x14ac:dyDescent="0.2">
      <c r="A861" s="103"/>
      <c r="D861" s="104"/>
      <c r="H861" s="99"/>
    </row>
    <row r="862" spans="1:8" ht="14.25" x14ac:dyDescent="0.2">
      <c r="A862" s="103"/>
      <c r="D862" s="104"/>
      <c r="H862" s="99"/>
    </row>
    <row r="863" spans="1:8" ht="14.25" x14ac:dyDescent="0.2">
      <c r="A863" s="103"/>
      <c r="D863" s="104"/>
      <c r="H863" s="99"/>
    </row>
    <row r="864" spans="1:8" ht="14.25" x14ac:dyDescent="0.2">
      <c r="A864" s="103"/>
      <c r="D864" s="104"/>
      <c r="H864" s="99"/>
    </row>
    <row r="865" spans="1:8" ht="14.25" x14ac:dyDescent="0.2">
      <c r="A865" s="103"/>
      <c r="D865" s="104"/>
      <c r="H865" s="99"/>
    </row>
    <row r="866" spans="1:8" ht="14.25" x14ac:dyDescent="0.2">
      <c r="A866" s="103"/>
      <c r="D866" s="104"/>
      <c r="H866" s="99"/>
    </row>
    <row r="867" spans="1:8" ht="14.25" x14ac:dyDescent="0.2">
      <c r="A867" s="103"/>
      <c r="D867" s="104"/>
      <c r="H867" s="99"/>
    </row>
    <row r="868" spans="1:8" ht="14.25" x14ac:dyDescent="0.2">
      <c r="A868" s="103"/>
      <c r="D868" s="104"/>
      <c r="H868" s="99"/>
    </row>
    <row r="869" spans="1:8" ht="14.25" x14ac:dyDescent="0.2">
      <c r="A869" s="103"/>
      <c r="D869" s="104"/>
      <c r="H869" s="99"/>
    </row>
    <row r="870" spans="1:8" ht="14.25" x14ac:dyDescent="0.2">
      <c r="A870" s="103"/>
      <c r="D870" s="104"/>
      <c r="H870" s="99"/>
    </row>
    <row r="871" spans="1:8" ht="14.25" x14ac:dyDescent="0.2">
      <c r="A871" s="103"/>
      <c r="D871" s="104"/>
      <c r="H871" s="99"/>
    </row>
    <row r="872" spans="1:8" ht="14.25" x14ac:dyDescent="0.2">
      <c r="A872" s="103"/>
      <c r="D872" s="104"/>
      <c r="H872" s="99"/>
    </row>
    <row r="873" spans="1:8" ht="14.25" x14ac:dyDescent="0.2">
      <c r="A873" s="103"/>
      <c r="D873" s="104"/>
      <c r="H873" s="99"/>
    </row>
    <row r="874" spans="1:8" ht="14.25" x14ac:dyDescent="0.2">
      <c r="A874" s="103"/>
      <c r="D874" s="104"/>
      <c r="H874" s="99"/>
    </row>
    <row r="875" spans="1:8" ht="14.25" x14ac:dyDescent="0.2">
      <c r="A875" s="103"/>
      <c r="D875" s="104"/>
      <c r="H875" s="99"/>
    </row>
    <row r="876" spans="1:8" ht="14.25" x14ac:dyDescent="0.2">
      <c r="A876" s="103"/>
      <c r="D876" s="104"/>
      <c r="H876" s="99"/>
    </row>
    <row r="877" spans="1:8" ht="14.25" x14ac:dyDescent="0.2">
      <c r="A877" s="103"/>
      <c r="D877" s="104"/>
      <c r="H877" s="99"/>
    </row>
    <row r="878" spans="1:8" ht="14.25" x14ac:dyDescent="0.2">
      <c r="A878" s="103"/>
      <c r="D878" s="104"/>
      <c r="H878" s="99"/>
    </row>
    <row r="879" spans="1:8" ht="14.25" x14ac:dyDescent="0.2">
      <c r="A879" s="103"/>
      <c r="D879" s="104"/>
      <c r="H879" s="99"/>
    </row>
    <row r="880" spans="1:8" ht="14.25" x14ac:dyDescent="0.2">
      <c r="A880" s="103"/>
      <c r="D880" s="104"/>
      <c r="H880" s="99"/>
    </row>
    <row r="881" spans="1:8" ht="14.25" x14ac:dyDescent="0.2">
      <c r="A881" s="103"/>
      <c r="D881" s="104"/>
      <c r="H881" s="99"/>
    </row>
    <row r="882" spans="1:8" ht="14.25" x14ac:dyDescent="0.2">
      <c r="A882" s="103"/>
      <c r="D882" s="104"/>
      <c r="H882" s="99"/>
    </row>
    <row r="883" spans="1:8" ht="14.25" x14ac:dyDescent="0.2">
      <c r="A883" s="103"/>
      <c r="D883" s="104"/>
      <c r="H883" s="99"/>
    </row>
    <row r="884" spans="1:8" ht="14.25" x14ac:dyDescent="0.2">
      <c r="A884" s="103"/>
      <c r="D884" s="104"/>
      <c r="H884" s="99"/>
    </row>
    <row r="885" spans="1:8" ht="14.25" x14ac:dyDescent="0.2">
      <c r="A885" s="103"/>
      <c r="D885" s="104"/>
      <c r="H885" s="99"/>
    </row>
    <row r="886" spans="1:8" ht="14.25" x14ac:dyDescent="0.2">
      <c r="A886" s="103"/>
      <c r="D886" s="104"/>
      <c r="H886" s="99"/>
    </row>
    <row r="887" spans="1:8" ht="14.25" x14ac:dyDescent="0.2">
      <c r="A887" s="103"/>
      <c r="D887" s="104"/>
      <c r="H887" s="99"/>
    </row>
    <row r="888" spans="1:8" ht="14.25" x14ac:dyDescent="0.2">
      <c r="A888" s="103"/>
      <c r="D888" s="104"/>
      <c r="H888" s="99"/>
    </row>
    <row r="889" spans="1:8" ht="14.25" x14ac:dyDescent="0.2">
      <c r="A889" s="103"/>
      <c r="D889" s="104"/>
      <c r="H889" s="99"/>
    </row>
    <row r="890" spans="1:8" ht="14.25" x14ac:dyDescent="0.2">
      <c r="A890" s="103"/>
      <c r="D890" s="104"/>
      <c r="H890" s="99"/>
    </row>
    <row r="891" spans="1:8" ht="14.25" x14ac:dyDescent="0.2">
      <c r="A891" s="103"/>
      <c r="D891" s="104"/>
      <c r="H891" s="99"/>
    </row>
    <row r="892" spans="1:8" ht="14.25" x14ac:dyDescent="0.2">
      <c r="A892" s="103"/>
      <c r="D892" s="104"/>
      <c r="H892" s="99"/>
    </row>
    <row r="893" spans="1:8" ht="14.25" x14ac:dyDescent="0.2">
      <c r="A893" s="103"/>
      <c r="D893" s="104"/>
      <c r="H893" s="99"/>
    </row>
    <row r="894" spans="1:8" ht="14.25" x14ac:dyDescent="0.2">
      <c r="A894" s="103"/>
      <c r="D894" s="104"/>
      <c r="H894" s="99"/>
    </row>
    <row r="895" spans="1:8" ht="14.25" x14ac:dyDescent="0.2">
      <c r="A895" s="103"/>
      <c r="D895" s="104"/>
      <c r="H895" s="99"/>
    </row>
    <row r="896" spans="1:8" ht="14.25" x14ac:dyDescent="0.2">
      <c r="A896" s="103"/>
      <c r="D896" s="104"/>
      <c r="H896" s="99"/>
    </row>
    <row r="897" spans="1:8" ht="14.25" x14ac:dyDescent="0.2">
      <c r="A897" s="103"/>
      <c r="D897" s="104"/>
      <c r="H897" s="99"/>
    </row>
    <row r="898" spans="1:8" ht="14.25" x14ac:dyDescent="0.2">
      <c r="A898" s="103"/>
      <c r="D898" s="104"/>
      <c r="H898" s="99"/>
    </row>
    <row r="899" spans="1:8" ht="14.25" x14ac:dyDescent="0.2">
      <c r="A899" s="103"/>
      <c r="D899" s="104"/>
      <c r="H899" s="99"/>
    </row>
    <row r="900" spans="1:8" ht="14.25" x14ac:dyDescent="0.2">
      <c r="A900" s="103"/>
      <c r="D900" s="104"/>
      <c r="H900" s="99"/>
    </row>
    <row r="901" spans="1:8" ht="14.25" x14ac:dyDescent="0.2">
      <c r="A901" s="103"/>
      <c r="D901" s="104"/>
      <c r="H901" s="99"/>
    </row>
    <row r="902" spans="1:8" ht="14.25" x14ac:dyDescent="0.2">
      <c r="A902" s="103"/>
      <c r="D902" s="104"/>
      <c r="H902" s="99"/>
    </row>
    <row r="903" spans="1:8" ht="14.25" x14ac:dyDescent="0.2">
      <c r="A903" s="103"/>
      <c r="D903" s="104"/>
      <c r="H903" s="99"/>
    </row>
    <row r="904" spans="1:8" ht="14.25" x14ac:dyDescent="0.2">
      <c r="A904" s="103"/>
      <c r="D904" s="104"/>
      <c r="H904" s="99"/>
    </row>
    <row r="905" spans="1:8" ht="14.25" x14ac:dyDescent="0.2">
      <c r="A905" s="103"/>
      <c r="D905" s="104"/>
      <c r="H905" s="99"/>
    </row>
    <row r="906" spans="1:8" ht="14.25" x14ac:dyDescent="0.2">
      <c r="A906" s="103"/>
      <c r="D906" s="104"/>
      <c r="H906" s="99"/>
    </row>
    <row r="907" spans="1:8" ht="14.25" x14ac:dyDescent="0.2">
      <c r="A907" s="103"/>
      <c r="D907" s="104"/>
      <c r="H907" s="99"/>
    </row>
    <row r="908" spans="1:8" ht="14.25" x14ac:dyDescent="0.2">
      <c r="A908" s="103"/>
      <c r="D908" s="104"/>
      <c r="H908" s="99"/>
    </row>
    <row r="909" spans="1:8" ht="14.25" x14ac:dyDescent="0.2">
      <c r="A909" s="103"/>
      <c r="D909" s="104"/>
      <c r="H909" s="99"/>
    </row>
    <row r="910" spans="1:8" ht="14.25" x14ac:dyDescent="0.2">
      <c r="A910" s="103"/>
      <c r="D910" s="104"/>
      <c r="H910" s="99"/>
    </row>
    <row r="911" spans="1:8" ht="14.25" x14ac:dyDescent="0.2">
      <c r="A911" s="103"/>
      <c r="D911" s="104"/>
      <c r="H911" s="99"/>
    </row>
    <row r="912" spans="1:8" ht="14.25" x14ac:dyDescent="0.2">
      <c r="A912" s="103"/>
      <c r="D912" s="104"/>
      <c r="H912" s="99"/>
    </row>
    <row r="913" spans="1:8" ht="14.25" x14ac:dyDescent="0.2">
      <c r="A913" s="103"/>
      <c r="D913" s="104"/>
      <c r="H913" s="99"/>
    </row>
    <row r="914" spans="1:8" ht="14.25" x14ac:dyDescent="0.2">
      <c r="A914" s="103"/>
      <c r="D914" s="104"/>
      <c r="H914" s="99"/>
    </row>
    <row r="915" spans="1:8" ht="14.25" x14ac:dyDescent="0.2">
      <c r="A915" s="103"/>
      <c r="D915" s="104"/>
      <c r="H915" s="99"/>
    </row>
  </sheetData>
  <mergeCells count="7">
    <mergeCell ref="B12:B13"/>
    <mergeCell ref="A12:A13"/>
    <mergeCell ref="B2:F2"/>
    <mergeCell ref="B3:F3"/>
    <mergeCell ref="B4:F4"/>
    <mergeCell ref="E5:F5"/>
    <mergeCell ref="E6:F6"/>
  </mergeCells>
  <phoneticPr fontId="23" type="noConversion"/>
  <dataValidations count="2">
    <dataValidation type="list" allowBlank="1" showInputMessage="1" showErrorMessage="1" prompt=" - " sqref="F38:F52 F63:F178" xr:uid="{00000000-0002-0000-0200-000000000000}">
      <formula1>$I$2:$I$6</formula1>
    </dataValidation>
    <dataValidation type="list" allowBlank="1" showErrorMessage="1" sqref="F1 F7:F10 F19:F37" xr:uid="{00000000-0002-0000-0200-000001000000}">
      <formula1>$I$2:$I$6</formula1>
    </dataValidation>
  </dataValidations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2.7109375" defaultRowHeight="15.75" customHeight="1" x14ac:dyDescent="0.2"/>
  <cols>
    <col min="1" max="26" width="8.7109375" customWidth="1"/>
  </cols>
  <sheetData>
    <row r="1" ht="13.5" customHeight="1" x14ac:dyDescent="0.2"/>
    <row r="2" ht="13.5" customHeight="1" x14ac:dyDescent="0.2"/>
    <row r="3" ht="13.5" customHeight="1" x14ac:dyDescent="0.2"/>
    <row r="4" ht="13.5" customHeight="1" x14ac:dyDescent="0.2"/>
    <row r="5" ht="13.5" customHeight="1" x14ac:dyDescent="0.2"/>
    <row r="6" ht="13.5" customHeight="1" x14ac:dyDescent="0.2"/>
    <row r="7" ht="13.5" customHeight="1" x14ac:dyDescent="0.2"/>
    <row r="8" ht="13.5" customHeight="1" x14ac:dyDescent="0.2"/>
    <row r="9" ht="13.5" customHeight="1" x14ac:dyDescent="0.2"/>
    <row r="10" ht="13.5" customHeight="1" x14ac:dyDescent="0.2"/>
    <row r="11" ht="13.5" customHeight="1" x14ac:dyDescent="0.2"/>
    <row r="12" ht="13.5" customHeight="1" x14ac:dyDescent="0.2"/>
    <row r="13" ht="13.5" customHeight="1" x14ac:dyDescent="0.2"/>
    <row r="14" ht="13.5" customHeight="1" x14ac:dyDescent="0.2"/>
    <row r="15" ht="13.5" customHeight="1" x14ac:dyDescent="0.2"/>
    <row r="16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H23" sqref="H23"/>
    </sheetView>
  </sheetViews>
  <sheetFormatPr defaultColWidth="12.7109375" defaultRowHeight="15.75" customHeight="1" x14ac:dyDescent="0.2"/>
  <cols>
    <col min="1" max="1" width="9" customWidth="1"/>
    <col min="2" max="2" width="15.85546875" customWidth="1"/>
    <col min="3" max="3" width="44.140625" customWidth="1"/>
    <col min="4" max="4" width="5.28515625" customWidth="1"/>
    <col min="5" max="5" width="6.140625" customWidth="1"/>
    <col min="6" max="6" width="9.28515625" customWidth="1"/>
    <col min="7" max="7" width="4.7109375" customWidth="1"/>
    <col min="8" max="8" width="37.28515625" customWidth="1"/>
    <col min="9" max="9" width="33.140625" customWidth="1"/>
    <col min="10" max="18" width="9" customWidth="1"/>
    <col min="19" max="26" width="8" customWidth="1"/>
  </cols>
  <sheetData>
    <row r="1" spans="1:26" ht="16.5" customHeight="1" x14ac:dyDescent="0.25">
      <c r="A1" s="8"/>
      <c r="B1" s="161" t="s">
        <v>52</v>
      </c>
      <c r="C1" s="162"/>
      <c r="D1" s="162"/>
      <c r="E1" s="162"/>
      <c r="F1" s="162"/>
      <c r="G1" s="162"/>
      <c r="H1" s="163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25">
      <c r="A2" s="105"/>
      <c r="B2" s="105"/>
      <c r="C2" s="8"/>
      <c r="D2" s="8"/>
      <c r="E2" s="8"/>
      <c r="F2" s="8"/>
      <c r="G2" s="8"/>
      <c r="H2" s="106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0.75" customHeight="1" x14ac:dyDescent="0.25">
      <c r="A3" s="8"/>
      <c r="B3" s="9" t="s">
        <v>1</v>
      </c>
      <c r="C3" s="150" t="str">
        <f>Cover!C4</f>
        <v>Xây dựng hệ thống quản lý kho hàng và bán lẻ cho cửa hàng điện thoại</v>
      </c>
      <c r="D3" s="132"/>
      <c r="E3" s="159" t="s">
        <v>3</v>
      </c>
      <c r="F3" s="132"/>
      <c r="G3" s="107"/>
      <c r="H3" s="108" t="s">
        <v>37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8"/>
      <c r="B4" s="9" t="s">
        <v>5</v>
      </c>
      <c r="C4" s="145" t="str">
        <f>Cover!C5</f>
        <v>KH52</v>
      </c>
      <c r="D4" s="132"/>
      <c r="E4" s="159" t="s">
        <v>7</v>
      </c>
      <c r="F4" s="132"/>
      <c r="G4" s="107"/>
      <c r="H4" s="10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25">
      <c r="A5" s="8"/>
      <c r="B5" s="109" t="s">
        <v>8</v>
      </c>
      <c r="C5" s="145" t="str">
        <f>C4&amp;"_"&amp;"Test Report"&amp;"_"&amp;"v1.0"</f>
        <v>KH52_Test Report_v1.0</v>
      </c>
      <c r="D5" s="132"/>
      <c r="E5" s="159" t="s">
        <v>9</v>
      </c>
      <c r="F5" s="132"/>
      <c r="G5" s="107"/>
      <c r="H5" s="110">
        <v>42836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105"/>
      <c r="B6" s="109" t="s">
        <v>53</v>
      </c>
      <c r="C6" s="160"/>
      <c r="D6" s="131"/>
      <c r="E6" s="131"/>
      <c r="F6" s="131"/>
      <c r="G6" s="131"/>
      <c r="H6" s="13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6.5" customHeight="1" x14ac:dyDescent="0.25">
      <c r="A7" s="105"/>
      <c r="B7" s="15"/>
      <c r="C7" s="111"/>
      <c r="D7" s="8"/>
      <c r="E7" s="8"/>
      <c r="F7" s="8"/>
      <c r="G7" s="8"/>
      <c r="H7" s="10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6.5" customHeight="1" x14ac:dyDescent="0.25">
      <c r="A8" s="8"/>
      <c r="B8" s="15"/>
      <c r="C8" s="111"/>
      <c r="D8" s="8"/>
      <c r="E8" s="8"/>
      <c r="F8" s="8"/>
      <c r="G8" s="8"/>
      <c r="H8" s="10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6.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.5" customHeight="1" x14ac:dyDescent="0.25">
      <c r="A10" s="112"/>
      <c r="B10" s="113" t="s">
        <v>29</v>
      </c>
      <c r="C10" s="114" t="s">
        <v>54</v>
      </c>
      <c r="D10" s="115" t="s">
        <v>38</v>
      </c>
      <c r="E10" s="114" t="s">
        <v>39</v>
      </c>
      <c r="F10" s="114" t="s">
        <v>40</v>
      </c>
      <c r="G10" s="116" t="s">
        <v>41</v>
      </c>
      <c r="H10" s="117" t="s">
        <v>55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6.5" customHeight="1" x14ac:dyDescent="0.25">
      <c r="A11" s="8"/>
      <c r="B11" s="118">
        <v>1</v>
      </c>
      <c r="C11" s="119" t="s">
        <v>86</v>
      </c>
      <c r="D11" s="119">
        <f>'Hỗ trợ &amp; khuyến mãi'!A6</f>
        <v>0</v>
      </c>
      <c r="E11" s="119">
        <f>'Hỗ trợ &amp; khuyến mãi'!B6</f>
        <v>0</v>
      </c>
      <c r="F11" s="119">
        <f>'Hỗ trợ &amp; khuyến mãi'!C6</f>
        <v>6</v>
      </c>
      <c r="G11" s="119">
        <f>'Hỗ trợ &amp; khuyến mãi'!D6</f>
        <v>0</v>
      </c>
      <c r="H11" s="119">
        <f>'Hỗ trợ &amp; khuyến mãi'!E6</f>
        <v>6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6.5" customHeight="1" x14ac:dyDescent="0.25">
      <c r="A12" s="8"/>
      <c r="B12" s="118">
        <v>2</v>
      </c>
      <c r="C12" s="119"/>
      <c r="D12" s="119"/>
      <c r="E12" s="119"/>
      <c r="F12" s="119"/>
      <c r="G12" s="119"/>
      <c r="H12" s="119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 x14ac:dyDescent="0.25">
      <c r="A13" s="8"/>
      <c r="B13" s="118">
        <v>3</v>
      </c>
      <c r="C13" s="119"/>
      <c r="D13" s="120"/>
      <c r="E13" s="120"/>
      <c r="F13" s="120"/>
      <c r="G13" s="120"/>
      <c r="H13" s="120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6.5" customHeight="1" x14ac:dyDescent="0.25">
      <c r="A14" s="8"/>
      <c r="B14" s="118">
        <v>4</v>
      </c>
      <c r="C14" s="119"/>
      <c r="D14" s="120"/>
      <c r="E14" s="120"/>
      <c r="F14" s="120"/>
      <c r="G14" s="120"/>
      <c r="H14" s="12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6.5" customHeight="1" x14ac:dyDescent="0.25">
      <c r="A15" s="112"/>
      <c r="B15" s="121"/>
      <c r="C15" s="122" t="s">
        <v>56</v>
      </c>
      <c r="D15" s="123">
        <f t="shared" ref="D15:H15" si="0">SUM(D11:D14)</f>
        <v>0</v>
      </c>
      <c r="E15" s="123">
        <f t="shared" si="0"/>
        <v>0</v>
      </c>
      <c r="F15" s="123">
        <f t="shared" si="0"/>
        <v>6</v>
      </c>
      <c r="G15" s="123">
        <f t="shared" si="0"/>
        <v>0</v>
      </c>
      <c r="H15" s="124">
        <f t="shared" si="0"/>
        <v>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.5" customHeight="1" x14ac:dyDescent="0.25">
      <c r="A16" s="112"/>
      <c r="B16" s="76"/>
      <c r="C16" s="8"/>
      <c r="D16" s="125"/>
      <c r="E16" s="126"/>
      <c r="F16" s="126"/>
      <c r="G16" s="126"/>
      <c r="H16" s="1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6.5" customHeight="1" x14ac:dyDescent="0.25">
      <c r="A17" s="112"/>
      <c r="B17" s="8"/>
      <c r="C17" s="6" t="s">
        <v>57</v>
      </c>
      <c r="D17" s="8"/>
      <c r="E17" s="127">
        <f>(D15+E15)*100/(H15-G15)</f>
        <v>0</v>
      </c>
      <c r="F17" s="8" t="s">
        <v>58</v>
      </c>
      <c r="G17" s="8"/>
      <c r="H17" s="75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6.5" customHeight="1" x14ac:dyDescent="0.25">
      <c r="A18" s="112"/>
      <c r="B18" s="8"/>
      <c r="C18" s="6" t="s">
        <v>59</v>
      </c>
      <c r="D18" s="8"/>
      <c r="E18" s="127">
        <f>D15*100/(H15-G15)</f>
        <v>0</v>
      </c>
      <c r="F18" s="8" t="s">
        <v>58</v>
      </c>
      <c r="G18" s="8"/>
      <c r="H18" s="75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6.5" customHeight="1" x14ac:dyDescent="0.25">
      <c r="A19" s="11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6.5" customHeight="1" x14ac:dyDescent="0.25">
      <c r="A20" s="11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6.5" customHeight="1" x14ac:dyDescent="0.25">
      <c r="A21" s="11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6.5" customHeight="1" x14ac:dyDescent="0.25">
      <c r="A22" s="11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6.5" customHeight="1" x14ac:dyDescent="0.25">
      <c r="A23" s="11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6.5" customHeight="1" x14ac:dyDescent="0.25">
      <c r="A24" s="11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.5" customHeight="1" x14ac:dyDescent="0.25">
      <c r="A25" s="11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6.5" customHeight="1" x14ac:dyDescent="0.25">
      <c r="A26" s="11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6.5" customHeight="1" x14ac:dyDescent="0.25">
      <c r="A27" s="11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6.5" customHeight="1" x14ac:dyDescent="0.25">
      <c r="A28" s="11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6.5" customHeight="1" x14ac:dyDescent="0.25">
      <c r="A29" s="11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6.5" customHeight="1" x14ac:dyDescent="0.25">
      <c r="A30" s="11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6.5" customHeight="1" x14ac:dyDescent="0.25">
      <c r="A31" s="11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6.5" customHeight="1" x14ac:dyDescent="0.25">
      <c r="A32" s="11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6.5" customHeight="1" x14ac:dyDescent="0.25">
      <c r="A33" s="11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6.5" customHeight="1" x14ac:dyDescent="0.25">
      <c r="A34" s="11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6.5" customHeight="1" x14ac:dyDescent="0.25">
      <c r="A35" s="11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6.5" customHeight="1" x14ac:dyDescent="0.25">
      <c r="A36" s="11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6.5" customHeight="1" x14ac:dyDescent="0.25">
      <c r="A37" s="11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6.5" customHeight="1" x14ac:dyDescent="0.25">
      <c r="A38" s="11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6.5" customHeight="1" x14ac:dyDescent="0.25">
      <c r="A39" s="11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6.5" customHeight="1" x14ac:dyDescent="0.25">
      <c r="A40" s="11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6.5" customHeight="1" x14ac:dyDescent="0.25">
      <c r="A41" s="11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6.5" customHeight="1" x14ac:dyDescent="0.25">
      <c r="A42" s="112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6.5" customHeight="1" x14ac:dyDescent="0.25">
      <c r="A43" s="11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6.5" customHeight="1" x14ac:dyDescent="0.25">
      <c r="A44" s="11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6.5" customHeight="1" x14ac:dyDescent="0.25">
      <c r="A45" s="11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6.5" customHeight="1" x14ac:dyDescent="0.25">
      <c r="A46" s="11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6.5" customHeight="1" x14ac:dyDescent="0.25">
      <c r="A47" s="11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6.5" customHeight="1" x14ac:dyDescent="0.25">
      <c r="A48" s="11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6.5" customHeight="1" x14ac:dyDescent="0.25">
      <c r="A49" s="11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6.5" customHeight="1" x14ac:dyDescent="0.25">
      <c r="A50" s="112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6.5" customHeight="1" x14ac:dyDescent="0.25">
      <c r="A51" s="11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6.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6.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6.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6.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6.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6.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6.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6.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6.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6.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6.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6.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6.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6.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6.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6.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6.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6.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6.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6.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6.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6.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6.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6.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6.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6.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6.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6.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6.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6.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6.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6.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6.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6.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6.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6.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6.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6.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6.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6.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6.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6.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6.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6.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6.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6.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6.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6.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6.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6.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6.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6.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6.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6.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6.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6.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6.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6.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6.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6.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6.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6.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6.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6.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6.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6.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6.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6.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6.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6.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6.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6.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6.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6.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6.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6.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6.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6.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6.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6.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6.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6.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6.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6.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6.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6.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6.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6.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6.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6.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6.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6.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6.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6.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6.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6.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6.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6.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6.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6.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6.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6.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6.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6.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6.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6.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6.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6.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6.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6.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6.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6.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6.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6.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6.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6.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6.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6.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6.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6.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6.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6.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6.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6.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6.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6.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6.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6.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6.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6.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6.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6.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6.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6.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6.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6.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6.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6.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6.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6.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6.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6.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6.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6.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6.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6.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6.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6.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6.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6.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6.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6.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6.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6.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6.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6.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6.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6.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6.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6.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6.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6.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6.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6.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6.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6.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6.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6.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6.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/>
    <row r="222" spans="1:26" ht="12.75" x14ac:dyDescent="0.2"/>
    <row r="223" spans="1:26" ht="12.75" x14ac:dyDescent="0.2"/>
    <row r="224" spans="1:26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Hỗ trợ &amp; khuyến mãi</vt:lpstr>
      <vt:lpstr>Layout Hỗ trợ &amp; khuyến mãi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Quang</cp:lastModifiedBy>
  <dcterms:created xsi:type="dcterms:W3CDTF">2025-11-14T08:21:05Z</dcterms:created>
  <dcterms:modified xsi:type="dcterms:W3CDTF">2025-11-15T18:29:41Z</dcterms:modified>
</cp:coreProperties>
</file>